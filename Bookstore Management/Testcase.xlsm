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defaultThemeVersion="166925"/>
  <mc:AlternateContent xmlns:mc="http://schemas.openxmlformats.org/markup-compatibility/2006">
    <mc:Choice Requires="x15">
      <x15ac:absPath xmlns:x15ac="http://schemas.microsoft.com/office/spreadsheetml/2010/11/ac" url="C:\Users\haiba\Desktop\"/>
    </mc:Choice>
  </mc:AlternateContent>
  <xr:revisionPtr revIDLastSave="0" documentId="8_{CE863632-5347-4000-8A90-FE750B7E61EC}" xr6:coauthVersionLast="45" xr6:coauthVersionMax="45" xr10:uidLastSave="{00000000-0000-0000-0000-000000000000}"/>
  <bookViews>
    <workbookView xWindow="-108" yWindow="-108" windowWidth="23256" windowHeight="12576" tabRatio="626" xr2:uid="{5AD429EB-28FA-4DA3-92AD-85397907B016}"/>
  </bookViews>
  <sheets>
    <sheet name="Thống kê" sheetId="4" r:id="rId1"/>
    <sheet name="Đăng Nhập" sheetId="1" r:id="rId2"/>
    <sheet name="Màn hình chính" sheetId="2" r:id="rId3"/>
    <sheet name="Nhà sách" sheetId="3" r:id="rId4"/>
    <sheet name="Lịch sử bán" sheetId="6" r:id="rId5"/>
    <sheet name="Thông tin kho sách" sheetId="8" r:id="rId6"/>
    <sheet name="Thông tin nhập kho" sheetId="11" r:id="rId7"/>
    <sheet name="Thông tin xuất kho" sheetId="13" r:id="rId8"/>
    <sheet name="Khách hàng" sheetId="28" r:id="rId9"/>
    <sheet name="Thông tin tài khoản" sheetId="29" r:id="rId10"/>
    <sheet name="Quản lý tài khoản" sheetId="31" r:id="rId11"/>
  </sheets>
  <definedNames>
    <definedName name="Shee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3" i="31" l="1"/>
  <c r="H44" i="31"/>
  <c r="H45" i="31"/>
  <c r="H65" i="31"/>
  <c r="H64" i="31"/>
  <c r="H57" i="31"/>
  <c r="H63" i="31"/>
  <c r="H62" i="31"/>
  <c r="H61" i="31"/>
  <c r="H60" i="31"/>
  <c r="H59" i="31"/>
  <c r="H58" i="31"/>
  <c r="H56" i="31"/>
  <c r="H55" i="31"/>
  <c r="H54" i="31"/>
  <c r="H53" i="31"/>
  <c r="H50" i="31"/>
  <c r="H51" i="31"/>
  <c r="H52" i="31"/>
  <c r="H49" i="31"/>
  <c r="H48" i="31"/>
  <c r="H47" i="31"/>
  <c r="H40" i="31"/>
  <c r="H41" i="31"/>
  <c r="H42" i="31"/>
  <c r="H46" i="31"/>
  <c r="H38" i="31"/>
  <c r="H39" i="31"/>
  <c r="H34" i="31"/>
  <c r="H35" i="31"/>
  <c r="H36" i="31"/>
  <c r="H37" i="31"/>
  <c r="H32" i="31"/>
  <c r="H33" i="31"/>
  <c r="H30" i="31"/>
  <c r="D6" i="31" s="1"/>
  <c r="H31" i="31"/>
  <c r="H21" i="31"/>
  <c r="H22" i="31"/>
  <c r="H23" i="31"/>
  <c r="H29" i="31"/>
  <c r="H28" i="31"/>
  <c r="H27" i="31"/>
  <c r="H26" i="31"/>
  <c r="H25" i="31"/>
  <c r="H24" i="31"/>
  <c r="H20" i="31"/>
  <c r="H19" i="31"/>
  <c r="H18" i="31"/>
  <c r="H17" i="31"/>
  <c r="H16" i="31"/>
  <c r="H15" i="31"/>
  <c r="H14" i="31"/>
  <c r="H13" i="31"/>
  <c r="H12" i="31"/>
  <c r="H11" i="31"/>
  <c r="D3" i="31"/>
  <c r="D8" i="31" s="1"/>
  <c r="H29" i="29"/>
  <c r="H28" i="29"/>
  <c r="H27" i="29"/>
  <c r="H26" i="29"/>
  <c r="H25" i="29"/>
  <c r="H24" i="29"/>
  <c r="H23" i="29"/>
  <c r="H21" i="29"/>
  <c r="H22" i="29"/>
  <c r="H18" i="29"/>
  <c r="H19" i="29"/>
  <c r="H20" i="29"/>
  <c r="H17" i="29"/>
  <c r="H16" i="29"/>
  <c r="H15" i="29"/>
  <c r="H14" i="29"/>
  <c r="H13" i="29"/>
  <c r="H12" i="29"/>
  <c r="H11" i="29"/>
  <c r="D8" i="29"/>
  <c r="D6" i="29"/>
  <c r="D5" i="29"/>
  <c r="D4" i="29"/>
  <c r="D3" i="29"/>
  <c r="D4" i="31" l="1"/>
  <c r="D5" i="31"/>
  <c r="D7" i="29"/>
  <c r="H55" i="28"/>
  <c r="H54" i="28"/>
  <c r="H53" i="28"/>
  <c r="H52" i="28"/>
  <c r="H51" i="28"/>
  <c r="H50" i="28"/>
  <c r="H49" i="28"/>
  <c r="H48" i="28"/>
  <c r="H47" i="28"/>
  <c r="H46" i="28"/>
  <c r="H45" i="28"/>
  <c r="H44" i="28"/>
  <c r="H43" i="28"/>
  <c r="H41" i="28"/>
  <c r="H42" i="28"/>
  <c r="H40" i="28"/>
  <c r="H39" i="28"/>
  <c r="H38" i="28"/>
  <c r="H37" i="28"/>
  <c r="H36" i="28"/>
  <c r="H35" i="28"/>
  <c r="H34" i="28"/>
  <c r="H33" i="28"/>
  <c r="H32" i="28"/>
  <c r="H31" i="28"/>
  <c r="H30" i="28"/>
  <c r="H29" i="28"/>
  <c r="H28" i="28"/>
  <c r="H27" i="28"/>
  <c r="H26" i="28"/>
  <c r="H25" i="28"/>
  <c r="H24" i="28"/>
  <c r="H23" i="28"/>
  <c r="H22" i="28"/>
  <c r="H21" i="28"/>
  <c r="H20" i="28"/>
  <c r="H19" i="28"/>
  <c r="H18" i="28"/>
  <c r="H17" i="28"/>
  <c r="H16" i="28"/>
  <c r="D5" i="28" s="1"/>
  <c r="H15" i="28"/>
  <c r="H14" i="28"/>
  <c r="H13" i="28"/>
  <c r="H12" i="28"/>
  <c r="H11" i="28"/>
  <c r="D8" i="28"/>
  <c r="D3" i="28"/>
  <c r="H87" i="13"/>
  <c r="H86" i="13"/>
  <c r="H85" i="13"/>
  <c r="H84" i="13"/>
  <c r="H83" i="13"/>
  <c r="H82" i="13"/>
  <c r="H81" i="13"/>
  <c r="H80" i="13"/>
  <c r="H79" i="13"/>
  <c r="H78" i="13"/>
  <c r="H77" i="13"/>
  <c r="H76" i="13"/>
  <c r="H75" i="13"/>
  <c r="H74" i="13"/>
  <c r="H73" i="13"/>
  <c r="H72" i="13"/>
  <c r="H71" i="13"/>
  <c r="H70" i="13"/>
  <c r="H69" i="13"/>
  <c r="H68" i="13"/>
  <c r="H67" i="13"/>
  <c r="H66" i="13"/>
  <c r="H65" i="13"/>
  <c r="H64" i="13"/>
  <c r="H63" i="13"/>
  <c r="H62" i="13"/>
  <c r="H61" i="13"/>
  <c r="H60" i="13"/>
  <c r="H59" i="13"/>
  <c r="H58" i="13"/>
  <c r="H57" i="13"/>
  <c r="H56" i="13"/>
  <c r="H55" i="13"/>
  <c r="H54" i="13"/>
  <c r="H53" i="13"/>
  <c r="H52" i="13"/>
  <c r="H51" i="13"/>
  <c r="H50" i="13"/>
  <c r="H49" i="13"/>
  <c r="H48" i="13"/>
  <c r="H47" i="13"/>
  <c r="H46" i="13"/>
  <c r="H45" i="13"/>
  <c r="H44" i="13"/>
  <c r="H43" i="13"/>
  <c r="H42" i="13"/>
  <c r="H41" i="13"/>
  <c r="H40" i="13"/>
  <c r="H39" i="13"/>
  <c r="H38" i="13"/>
  <c r="H37" i="13"/>
  <c r="H36" i="13"/>
  <c r="H35" i="13"/>
  <c r="H34" i="13"/>
  <c r="H33" i="13"/>
  <c r="H32" i="13"/>
  <c r="H31" i="13"/>
  <c r="H30" i="13"/>
  <c r="H29" i="13"/>
  <c r="H28" i="13"/>
  <c r="H27" i="13"/>
  <c r="H26" i="13"/>
  <c r="H25" i="13"/>
  <c r="H24" i="13"/>
  <c r="H23" i="13"/>
  <c r="H22" i="13"/>
  <c r="H21" i="13"/>
  <c r="H20" i="13"/>
  <c r="H19" i="13"/>
  <c r="H18" i="13"/>
  <c r="H17" i="13"/>
  <c r="H16" i="13"/>
  <c r="H15" i="13"/>
  <c r="H14" i="13"/>
  <c r="H13" i="13"/>
  <c r="H12" i="13"/>
  <c r="H11" i="13"/>
  <c r="D6" i="13"/>
  <c r="D5" i="13"/>
  <c r="D4" i="13"/>
  <c r="D3" i="13"/>
  <c r="D8" i="13" s="1"/>
  <c r="D7" i="13" s="1"/>
  <c r="H89" i="11"/>
  <c r="H88" i="11"/>
  <c r="H87" i="11"/>
  <c r="H86" i="11"/>
  <c r="H85" i="11"/>
  <c r="H84" i="11"/>
  <c r="H83" i="11"/>
  <c r="H82" i="11"/>
  <c r="H81" i="11"/>
  <c r="H80" i="11"/>
  <c r="H79" i="11"/>
  <c r="H78" i="11"/>
  <c r="H77" i="11"/>
  <c r="H76" i="11"/>
  <c r="H75" i="11"/>
  <c r="H74" i="11"/>
  <c r="H73" i="11"/>
  <c r="H72" i="11"/>
  <c r="H71" i="11"/>
  <c r="H70" i="11"/>
  <c r="H69" i="11"/>
  <c r="H68" i="11"/>
  <c r="H67" i="11"/>
  <c r="H66" i="11"/>
  <c r="H65" i="11"/>
  <c r="H64" i="11"/>
  <c r="H63" i="11"/>
  <c r="H62" i="11"/>
  <c r="H61" i="11"/>
  <c r="H60" i="11"/>
  <c r="H59" i="11"/>
  <c r="H58" i="11"/>
  <c r="H57" i="11"/>
  <c r="H55" i="11"/>
  <c r="H56" i="11"/>
  <c r="H53" i="11"/>
  <c r="H54" i="11"/>
  <c r="H51" i="11"/>
  <c r="H52" i="11"/>
  <c r="H50" i="11"/>
  <c r="H49" i="11"/>
  <c r="H48" i="11"/>
  <c r="H47" i="11"/>
  <c r="H46" i="11"/>
  <c r="H45" i="11"/>
  <c r="H44" i="11"/>
  <c r="H43" i="11"/>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D6" i="11" s="1"/>
  <c r="H14" i="11"/>
  <c r="H13" i="11"/>
  <c r="H12" i="11"/>
  <c r="H11" i="11"/>
  <c r="D8" i="11"/>
  <c r="D3" i="11"/>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3" i="8"/>
  <c r="H64" i="8"/>
  <c r="H65" i="8"/>
  <c r="H66" i="8"/>
  <c r="H67" i="8"/>
  <c r="H68" i="8"/>
  <c r="H62" i="8"/>
  <c r="H61" i="8"/>
  <c r="H60" i="8"/>
  <c r="H59" i="8"/>
  <c r="H58" i="8"/>
  <c r="H57" i="8"/>
  <c r="H55" i="8"/>
  <c r="H56" i="8"/>
  <c r="H54" i="8"/>
  <c r="H47" i="8"/>
  <c r="H48" i="8"/>
  <c r="H49" i="8"/>
  <c r="H50" i="8"/>
  <c r="H51" i="8"/>
  <c r="H52" i="8"/>
  <c r="H53" i="8"/>
  <c r="H44" i="8"/>
  <c r="H45" i="8"/>
  <c r="H46" i="8"/>
  <c r="H42" i="8"/>
  <c r="H43" i="8"/>
  <c r="H41" i="8"/>
  <c r="H39" i="8"/>
  <c r="H40" i="8"/>
  <c r="H37" i="8"/>
  <c r="H38" i="8"/>
  <c r="H35" i="8"/>
  <c r="H36" i="8"/>
  <c r="H33" i="8"/>
  <c r="H34" i="8"/>
  <c r="H31" i="8"/>
  <c r="H32" i="8"/>
  <c r="H29" i="8"/>
  <c r="H30" i="8"/>
  <c r="H27" i="8"/>
  <c r="H28" i="8"/>
  <c r="H25" i="8"/>
  <c r="H26" i="8"/>
  <c r="H24" i="8"/>
  <c r="H23" i="8"/>
  <c r="H18" i="8"/>
  <c r="H19" i="8"/>
  <c r="H20" i="8"/>
  <c r="H21" i="8"/>
  <c r="H22" i="8"/>
  <c r="H17" i="8"/>
  <c r="H16" i="8"/>
  <c r="H15" i="8"/>
  <c r="D7" i="31" l="1"/>
  <c r="D4" i="28"/>
  <c r="D6" i="28"/>
  <c r="D5" i="11"/>
  <c r="D4" i="11"/>
  <c r="D7" i="28" l="1"/>
  <c r="D7" i="11"/>
  <c r="D5" i="8" l="1"/>
  <c r="D6" i="8"/>
  <c r="H14" i="8"/>
  <c r="H13" i="8"/>
  <c r="H12" i="8"/>
  <c r="H11" i="8"/>
  <c r="D8" i="8"/>
  <c r="D3" i="8"/>
  <c r="H47" i="6"/>
  <c r="H45" i="6"/>
  <c r="H46" i="6"/>
  <c r="H43" i="6"/>
  <c r="H44" i="6"/>
  <c r="H41" i="6"/>
  <c r="H42" i="6"/>
  <c r="H38" i="6"/>
  <c r="H40" i="6"/>
  <c r="H39" i="6"/>
  <c r="H35" i="6"/>
  <c r="H36" i="6"/>
  <c r="H37" i="6"/>
  <c r="H34" i="6"/>
  <c r="H33" i="6"/>
  <c r="H32" i="6"/>
  <c r="H31" i="6"/>
  <c r="H29" i="6"/>
  <c r="H30" i="6"/>
  <c r="H27" i="6"/>
  <c r="H28" i="6"/>
  <c r="H25" i="6"/>
  <c r="H26" i="6"/>
  <c r="H23" i="6"/>
  <c r="H24" i="6"/>
  <c r="H22" i="6"/>
  <c r="H21" i="6"/>
  <c r="H20" i="6"/>
  <c r="H17" i="6"/>
  <c r="H18" i="6"/>
  <c r="H19" i="6"/>
  <c r="H16" i="6"/>
  <c r="H15" i="6"/>
  <c r="H14" i="6"/>
  <c r="H13" i="6"/>
  <c r="H12" i="6"/>
  <c r="H11" i="6"/>
  <c r="D3" i="6"/>
  <c r="D8" i="6" s="1"/>
  <c r="T105" i="4"/>
  <c r="Q105" i="4"/>
  <c r="M103" i="4"/>
  <c r="L104" i="4"/>
  <c r="T101" i="4"/>
  <c r="R102" i="4"/>
  <c r="M101" i="4"/>
  <c r="N102" i="4"/>
  <c r="O104" i="4"/>
  <c r="T102" i="4"/>
  <c r="R105" i="4"/>
  <c r="M102" i="4"/>
  <c r="K103" i="4"/>
  <c r="Q101" i="4"/>
  <c r="S102" i="4"/>
  <c r="O102" i="4"/>
  <c r="O101" i="4"/>
  <c r="Q104" i="4"/>
  <c r="S105" i="4"/>
  <c r="O105" i="4"/>
  <c r="L102" i="4"/>
  <c r="P101" i="4"/>
  <c r="R101" i="4"/>
  <c r="P103" i="4"/>
  <c r="L101" i="4"/>
  <c r="L105" i="4"/>
  <c r="O103" i="4"/>
  <c r="R104" i="4"/>
  <c r="Q103" i="4"/>
  <c r="N103" i="4"/>
  <c r="N105" i="4"/>
  <c r="S101" i="4"/>
  <c r="S104" i="4"/>
  <c r="P104" i="4"/>
  <c r="N101" i="4"/>
  <c r="K102" i="4"/>
  <c r="P102" i="4"/>
  <c r="R103" i="4"/>
  <c r="K104" i="4"/>
  <c r="M105" i="4"/>
  <c r="L103" i="4"/>
  <c r="T104" i="4"/>
  <c r="P105" i="4"/>
  <c r="S103" i="4"/>
  <c r="M104" i="4"/>
  <c r="K105" i="4"/>
  <c r="T103" i="4"/>
  <c r="Q102" i="4"/>
  <c r="K101" i="4"/>
  <c r="N104" i="4"/>
  <c r="D4" i="8" l="1"/>
  <c r="D7" i="8" s="1"/>
  <c r="D6" i="6"/>
  <c r="D4" i="6"/>
  <c r="D5" i="6"/>
  <c r="D3" i="1"/>
  <c r="D101" i="4"/>
  <c r="C105" i="4"/>
  <c r="I105" i="4"/>
  <c r="D104" i="4"/>
  <c r="E105" i="4"/>
  <c r="C101" i="4"/>
  <c r="F104" i="4"/>
  <c r="B105" i="4"/>
  <c r="H105" i="4"/>
  <c r="E102" i="4"/>
  <c r="E101" i="4"/>
  <c r="J102" i="4"/>
  <c r="I103" i="4"/>
  <c r="J103" i="4"/>
  <c r="F103" i="4"/>
  <c r="C102" i="4"/>
  <c r="D102" i="4"/>
  <c r="H102" i="4"/>
  <c r="J104" i="4"/>
  <c r="G105" i="4"/>
  <c r="J105" i="4"/>
  <c r="F102" i="4"/>
  <c r="H101" i="4"/>
  <c r="C104" i="4"/>
  <c r="D103" i="4"/>
  <c r="H104" i="4"/>
  <c r="I102" i="4"/>
  <c r="G101" i="4"/>
  <c r="I104" i="4"/>
  <c r="G102" i="4"/>
  <c r="J101" i="4"/>
  <c r="G104" i="4"/>
  <c r="F101" i="4"/>
  <c r="E103" i="4"/>
  <c r="I101" i="4"/>
  <c r="C103" i="4"/>
  <c r="H103" i="4"/>
  <c r="G103" i="4"/>
  <c r="D105" i="4"/>
  <c r="F105" i="4"/>
  <c r="D7" i="6" l="1"/>
  <c r="B7" i="4"/>
  <c r="H27" i="3"/>
  <c r="H26" i="3"/>
  <c r="H25" i="3"/>
  <c r="H24" i="3"/>
  <c r="H23" i="3"/>
  <c r="H22" i="3"/>
  <c r="H21" i="3"/>
  <c r="H20" i="3"/>
  <c r="H22" i="2"/>
  <c r="H19" i="3"/>
  <c r="H18" i="3"/>
  <c r="H17" i="3"/>
  <c r="H16" i="3"/>
  <c r="H15" i="3"/>
  <c r="H14" i="3"/>
  <c r="H13" i="3"/>
  <c r="H12" i="3"/>
  <c r="H11" i="3"/>
  <c r="D3" i="3"/>
  <c r="D8" i="3" s="1"/>
  <c r="H13" i="2"/>
  <c r="D6" i="2" s="1"/>
  <c r="H25" i="2"/>
  <c r="H26" i="2"/>
  <c r="H24" i="2"/>
  <c r="H23" i="2"/>
  <c r="H20" i="2"/>
  <c r="H21" i="2"/>
  <c r="H19" i="2"/>
  <c r="H18" i="2"/>
  <c r="H17" i="2"/>
  <c r="D3" i="2"/>
  <c r="D8" i="2" s="1"/>
  <c r="H16" i="2"/>
  <c r="H15" i="2"/>
  <c r="H14" i="2"/>
  <c r="H12" i="2"/>
  <c r="H11" i="2"/>
  <c r="H25" i="1"/>
  <c r="H24" i="1"/>
  <c r="H23" i="1"/>
  <c r="H22" i="1"/>
  <c r="H21" i="1"/>
  <c r="H20" i="1"/>
  <c r="H19" i="1"/>
  <c r="H18" i="1"/>
  <c r="H17" i="1"/>
  <c r="H16" i="1"/>
  <c r="H15" i="1"/>
  <c r="H14" i="1"/>
  <c r="H13" i="1"/>
  <c r="E104" i="4"/>
  <c r="D4" i="3" l="1"/>
  <c r="D6" i="3"/>
  <c r="D5" i="3"/>
  <c r="D4" i="2"/>
  <c r="D5" i="2"/>
  <c r="D7" i="3" l="1"/>
  <c r="D7" i="2"/>
  <c r="H12" i="1" l="1"/>
  <c r="D8" i="1"/>
  <c r="H11" i="1"/>
  <c r="D6" i="1" l="1"/>
  <c r="D5" i="1"/>
  <c r="D4" i="1"/>
  <c r="B102" i="4"/>
  <c r="B101" i="4"/>
  <c r="B103" i="4"/>
  <c r="B5" i="4" l="1"/>
  <c r="B4" i="4"/>
  <c r="B3" i="4"/>
  <c r="D7" i="1"/>
  <c r="B104" i="4"/>
  <c r="B6" i="4" l="1"/>
</calcChain>
</file>

<file path=xl/sharedStrings.xml><?xml version="1.0" encoding="utf-8"?>
<sst xmlns="http://schemas.openxmlformats.org/spreadsheetml/2006/main" count="2439" uniqueCount="1055">
  <si>
    <t>KỊCH BẢN KIỂM THỬ</t>
  </si>
  <si>
    <t>Tên màn hình/Tên chức năng</t>
  </si>
  <si>
    <t>Mã trường hợp kiểm thử</t>
  </si>
  <si>
    <t>Số trường hợp kiểm thử đạt (P)</t>
  </si>
  <si>
    <t>Số trường hợp kiểm thử không đạt (F)</t>
  </si>
  <si>
    <t>Số trường hợp kiểm thử đang xem xét (PE)</t>
  </si>
  <si>
    <t>Số trường hợp kiểm thử chưa thực hiện</t>
  </si>
  <si>
    <t>Tổng số trường hợp kiểm thử</t>
  </si>
  <si>
    <t>Mục đích kiểm thử</t>
  </si>
  <si>
    <t>Các bước thực hiện</t>
  </si>
  <si>
    <t>Kết quả mong muốn</t>
  </si>
  <si>
    <t>Lần 1</t>
  </si>
  <si>
    <t>Lần 2</t>
  </si>
  <si>
    <t>Lần 3</t>
  </si>
  <si>
    <t>Kết quả hiện tại</t>
  </si>
  <si>
    <t>Mã lỗi</t>
  </si>
  <si>
    <t>Note</t>
  </si>
  <si>
    <t>Kiểm tra màn hình ở trạng thái mặc định</t>
  </si>
  <si>
    <t>P</t>
  </si>
  <si>
    <t>Đăng nhập</t>
  </si>
  <si>
    <t>DN_001</t>
  </si>
  <si>
    <t>1. Kiểm tra thanh Header
2. Kiểm tra focus của chuột
3. Kiểm tra các giá trị mặc định của các trường</t>
  </si>
  <si>
    <t>1. Thanh Header gồm:
  - Tên
  - Minimize
  - Exit
2. Focus chuột:
  - Normal khi không hover vào trường đặc biệt
  - hand khi ở trường click được
  - ibeam khi ở trường nhập liệu
3. Các trường có giá trị mặc định trống, bảng danh sách hiển thị đầy đủ</t>
  </si>
  <si>
    <t>DN_002</t>
  </si>
  <si>
    <t>Kiểm tra tổng thể giao diện màn hình</t>
  </si>
  <si>
    <t>1. Kiểm tra về bố cục
2. Kiểm tra về font chữ, chính tả, màu chữ
3. Kiểm tra trường nhập bắt buộc</t>
  </si>
  <si>
    <t>1. Form được bố trí hợp lý và dễ sử dụng, các control có độ dài, rộng và khoảng cách thống nhất, không xô lệch
2. Các control sử dụng cùng 1 loại font, cỡ chữ, căn lề. Không sai chính tả
3. Các trường bắt buộc nhập sẽ đưa ra cảnh báo nếu không có dữ liệu</t>
  </si>
  <si>
    <t>DN_003</t>
  </si>
  <si>
    <t>Kiểm tra thứ tự di chuyển focus khi nhấn phím Tab</t>
  </si>
  <si>
    <t>Nhấn Tab liên tục</t>
  </si>
  <si>
    <t>Con trỏ di chuyển lần lượt theo thứ tự: Từ trái sang phải, từ trên xuống dưới</t>
  </si>
  <si>
    <t>DN_004</t>
  </si>
  <si>
    <t>Kiểm tra thứ tự di chuyển ngược focus khi nhấn Shift+Tab</t>
  </si>
  <si>
    <t>Nhấn Shift+Tab liên tục</t>
  </si>
  <si>
    <t>Con trỏ di chuyển lần lượt theo thứ tự: Từ phải sang trái, từ dưới lên trên</t>
  </si>
  <si>
    <t>DN_005</t>
  </si>
  <si>
    <t>Kiểm tra giao hiện khi thay đổi kích thước</t>
  </si>
  <si>
    <t>Thay đổi kích thước cửa sổ</t>
  </si>
  <si>
    <t>Giao diện không bị vỡ</t>
  </si>
  <si>
    <t>DN_006</t>
  </si>
  <si>
    <t>Kiểm tra TextBox Nhập Tài Khoản</t>
  </si>
  <si>
    <t>Kiểm tra giao diện</t>
  </si>
  <si>
    <t>Canh lề, font chữ, màu sắc hợp lý</t>
  </si>
  <si>
    <t>DN_007</t>
  </si>
  <si>
    <t>Kiểm tra TextBox Nhập mật khẩu</t>
  </si>
  <si>
    <t>Canh lề, PasswordChar, màu sắc hợp lý</t>
  </si>
  <si>
    <t>DN_008</t>
  </si>
  <si>
    <t>Kiểm tra Checkbox Remember me</t>
  </si>
  <si>
    <t>DN_009</t>
  </si>
  <si>
    <t>Kiểm tra Button Login</t>
  </si>
  <si>
    <t>DN_010</t>
  </si>
  <si>
    <t>Kiểm tra Button Tìm hiểu thêm</t>
  </si>
  <si>
    <t>DN_011</t>
  </si>
  <si>
    <t>1. Nhập tài khoản "admin"
2. Nhập mật khẩu "admin"
3. Nhấn button Đăng nhập</t>
  </si>
  <si>
    <t>Kiểm tra Login thành công</t>
  </si>
  <si>
    <t>Login thành công, chuyển đến màn hình chính</t>
  </si>
  <si>
    <t>DN_012</t>
  </si>
  <si>
    <t>1. Nhập tài khoản "admin"
2. Nhập mật khẩu "123qwe"
3. Nhấn button Đăng nhập</t>
  </si>
  <si>
    <t>Kiểm tra Login với thông tin sai</t>
  </si>
  <si>
    <t>DN_013</t>
  </si>
  <si>
    <t>1. Nhập tài khoản ""
2. Nhập mật khẩu "admin"
3. Nhấn button Đăng nhập</t>
  </si>
  <si>
    <t>Báo "Tài khản không được để trống"</t>
  </si>
  <si>
    <t>Báo "Sai tài khoản hoặc mật khẩu"</t>
  </si>
  <si>
    <t>DN_014</t>
  </si>
  <si>
    <t>1. Nhập tài khoản "admin"
2. Nhập mật khẩu ""
3. Nhấn button Đăng nhập</t>
  </si>
  <si>
    <t>Báo "Mật khẩu không được để trống"</t>
  </si>
  <si>
    <t>DN_015</t>
  </si>
  <si>
    <t>Nhấn vào Button Tìm hiểu thêm</t>
  </si>
  <si>
    <t>Đi đến trang hướng dẫn sử dụng</t>
  </si>
  <si>
    <t>Màn hình chính</t>
  </si>
  <si>
    <t>MHC_001</t>
  </si>
  <si>
    <t>1. Kiểm tra thanh Header
2. Kiểm tra focus của chuột</t>
  </si>
  <si>
    <t>1. Thanh Header gồm:
  - Back
  - Tên
  - Người đăng nhập
  - Minimize
  - Maximize
  - Exit
2. Focus chuột:
  - Normal khi không hover vào trường đặc biệt
  - hand khi ở trường click được
  - ibeam khi ở trường nhập liệu</t>
  </si>
  <si>
    <t>MHC_002</t>
  </si>
  <si>
    <t>MHC_003</t>
  </si>
  <si>
    <t>MHC_004</t>
  </si>
  <si>
    <t>MHC_005</t>
  </si>
  <si>
    <t>MHC_006</t>
  </si>
  <si>
    <t>Màu sắc, biểu tượng, vị trí hợp lý</t>
  </si>
  <si>
    <t>Kiểm tra Button Back</t>
  </si>
  <si>
    <t>MHC_007</t>
  </si>
  <si>
    <t>Kiểm tra Button Minimize</t>
  </si>
  <si>
    <t>MHC_008</t>
  </si>
  <si>
    <t>MHC_009</t>
  </si>
  <si>
    <t>MHC_010</t>
  </si>
  <si>
    <t>Kiểm tra Button Maximize</t>
  </si>
  <si>
    <t>Kiểm tra Button Exit</t>
  </si>
  <si>
    <t>1. Kiểm tra về bố cục
2. Kiểm tra về font chữ, chính tả, màu chữ</t>
  </si>
  <si>
    <t>1. Form được bố trí hợp lý và dễ sử dụng, các control có độ dài, rộng và khoảng cách thống nhất, không xô lệch
2. Các control sử dụng cùng 1 loại font, cỡ chữ, căn lề. Không sai chính tả</t>
  </si>
  <si>
    <t>Nhấn vào Button Back</t>
  </si>
  <si>
    <t>MHC_011</t>
  </si>
  <si>
    <t>MHC_012</t>
  </si>
  <si>
    <t>MHC_013</t>
  </si>
  <si>
    <t>MHC_014</t>
  </si>
  <si>
    <t>Về màn hình đăng nhập</t>
  </si>
  <si>
    <t>Nhấn vào Button Minimize</t>
  </si>
  <si>
    <t>Minimize màn hình</t>
  </si>
  <si>
    <t>Nhấn vào Button Maximize</t>
  </si>
  <si>
    <t>Maximize màn hình</t>
  </si>
  <si>
    <t>Nhấn vào Button Exit</t>
  </si>
  <si>
    <t>Tắt chương trình</t>
  </si>
  <si>
    <t>MHC_015</t>
  </si>
  <si>
    <t>Kiểm tra menu chính</t>
  </si>
  <si>
    <t>1. Bố trí hợp lý và dễ sử dụng, có độ dài, rộng và khoảng cách thống nhất, không xô lệch
2. Sử dụng cùng 1 loại font, cỡ chữ, căn lề. Không sai chính tả</t>
  </si>
  <si>
    <t>Nhà sách</t>
  </si>
  <si>
    <t>NS_001</t>
  </si>
  <si>
    <t>NS_002</t>
  </si>
  <si>
    <t>NS_003</t>
  </si>
  <si>
    <t>NS_004</t>
  </si>
  <si>
    <t>NS_005</t>
  </si>
  <si>
    <t>NS_006</t>
  </si>
  <si>
    <t>NS_007</t>
  </si>
  <si>
    <t>NS_008</t>
  </si>
  <si>
    <t>NS_009</t>
  </si>
  <si>
    <t>NS_010</t>
  </si>
  <si>
    <t>NS_011</t>
  </si>
  <si>
    <t>NS_012</t>
  </si>
  <si>
    <t>NS_013</t>
  </si>
  <si>
    <t>NS_014</t>
  </si>
  <si>
    <t>NS_015</t>
  </si>
  <si>
    <t>1. Thanh Header gồm:
  - Filter
  - Tìm kiếm
  - Hóa đơn
2. Focus chuột:
  - Normal khi không hover vào trường đặc biệt
  - hand khi ở trường click được
  - ibeam khi ở trường nhập liệu
3. Các trường có giá trị mặc định trống, bảng danh sách hiển thị đầy đủ</t>
  </si>
  <si>
    <t>Kiểm tra Textbox Tìm tên sách</t>
  </si>
  <si>
    <t>Kiểm tra Button Tìm kiếm</t>
  </si>
  <si>
    <t>Kiểm tra Popup Hóa đơn</t>
  </si>
  <si>
    <t>Kiểm tra Popup Người đăng nhập</t>
  </si>
  <si>
    <t>Nhấn vào Popup Người đăng nhập</t>
  </si>
  <si>
    <t>MHC_016</t>
  </si>
  <si>
    <t>Kiểm tra ScrollViewer Danh sách sách</t>
  </si>
  <si>
    <t>Canh lề hợp lý</t>
  </si>
  <si>
    <t>Canh lề hợp lý, danh sách item hiển thị đầy đủ</t>
  </si>
  <si>
    <t>Kiểm tra chức năng lọc sách</t>
  </si>
  <si>
    <t>1. Nhấn Button lọc sách
2. Nhấn vào bộ lọc
3. Nhấp chọn thể loại Hài và năm 2019</t>
  </si>
  <si>
    <t>Hiển thị danh sách sách có thể loại Hài và năm 2019</t>
  </si>
  <si>
    <t>Kiểm tra chức năng tìm sách</t>
  </si>
  <si>
    <t>1. Chọn ô tìm sách
2. Nhập "1"</t>
  </si>
  <si>
    <t>Hiển thị danh sách sách tên có chứ ký tự "1" hoặc ID có chứa "1"</t>
  </si>
  <si>
    <t>Kiểm tra chức năng tìm sách với nội dung sai</t>
  </si>
  <si>
    <t>Báo "Không tìm thấy sách"</t>
  </si>
  <si>
    <t>1. Chọn ô tìm sách
2. Nhập "qwdasdasasd"</t>
  </si>
  <si>
    <t>Kiểm tra Popup Lọc sách</t>
  </si>
  <si>
    <t>Thêm hóa đơn thành công</t>
  </si>
  <si>
    <t>Kiểm tra chức năng thêm hóa đơn với người dùng mới</t>
  </si>
  <si>
    <t>NS_016</t>
  </si>
  <si>
    <t>Kiểm tra chức năng thêm hóa đơn với người dùng cũ</t>
  </si>
  <si>
    <t>1. Thêm 1 quyển sách vào hóa đơn
2. Chọn thanh toán
3. Nhập tên khách hàng "Nguyễn Văn A"
4. Nhấn "Đồng ý"</t>
  </si>
  <si>
    <t>1. Thêm 1 quyển sách vào hóa đơn
2. Chọn thanh toán
3. Nhập tên khách hàng "Nguyễn Văn A"
4. Chọn giới tính "Nam"
5. Nhập số điện thoại "0987654321"
6. Nhập địa chỉ "Hồ Chí Minh"
7. Nhấn "Đồng ý"</t>
  </si>
  <si>
    <t>NS_017</t>
  </si>
  <si>
    <t>Kiểm tra chức năng thêm hóa đơn nhưng hủy giữa chừng</t>
  </si>
  <si>
    <t>1. Thêm 1 quyển sách vào hóa đơn
2. Chọn thanh toán
3. Nhập tên khách hàng "Nguyễn Văn A"
4. Nhấn "Hủy"</t>
  </si>
  <si>
    <t>Quay lại màn hình Nhà sách</t>
  </si>
  <si>
    <t>Quản lý Nhà sách</t>
  </si>
  <si>
    <t>Tổng số trường hợp kiểm thử đạt (P)</t>
  </si>
  <si>
    <t>Tổng số trường hợp kiểm thử không đạt (F)</t>
  </si>
  <si>
    <t>Tổng số trường hợp kiểm thử đang xem xét (PE)</t>
  </si>
  <si>
    <t>Tổng số trường hợp kiểm thử chưa thực hiện</t>
  </si>
  <si>
    <t>index</t>
  </si>
  <si>
    <t>F</t>
  </si>
  <si>
    <t>PE</t>
  </si>
  <si>
    <t>total</t>
  </si>
  <si>
    <t>not</t>
  </si>
  <si>
    <t>Lịch sử bán</t>
  </si>
  <si>
    <t>LSB_001</t>
  </si>
  <si>
    <t>LSB_002</t>
  </si>
  <si>
    <t>LSB_003</t>
  </si>
  <si>
    <t>LSB_004</t>
  </si>
  <si>
    <t>LSB_005</t>
  </si>
  <si>
    <t>LSB_006</t>
  </si>
  <si>
    <t>LSB_007</t>
  </si>
  <si>
    <t>LSB_008</t>
  </si>
  <si>
    <t>LSB_009</t>
  </si>
  <si>
    <t>LSB_010</t>
  </si>
  <si>
    <t>LSB_011</t>
  </si>
  <si>
    <t>LSB_012</t>
  </si>
  <si>
    <t>LSB_013</t>
  </si>
  <si>
    <t>LSB_014</t>
  </si>
  <si>
    <t>LSB_015</t>
  </si>
  <si>
    <t>LSB_016</t>
  </si>
  <si>
    <t>LSB_017</t>
  </si>
  <si>
    <t>1. Kiểm tra thanh Header của bảng
2. Kiểm tra focus của chuột
3. Kiểm tra màu ô</t>
  </si>
  <si>
    <t>1. Thanh Header gồm:
  - ID
  - Khách hàng
  - Nhân viên
  - Số tiền
  - Thời gian
2. Focus chuột:
  - Normal khi không hover vào trường đặc biệt
  - hand khi ở trường click được
  - ibeam khi ở trường nhập liệu
3. Màu default, hover, select hợp lý</t>
  </si>
  <si>
    <t>Kiểm tra Header ID</t>
  </si>
  <si>
    <t>Kiểm tra Header Khách hàng</t>
  </si>
  <si>
    <t>Kiểm tra Header Nhân viên</t>
  </si>
  <si>
    <t>Kiểm tra Header Số tiền</t>
  </si>
  <si>
    <t>Kiểm tra Header Thời gian</t>
  </si>
  <si>
    <t>Kiểm tra Header ID sort tăng</t>
  </si>
  <si>
    <t>Nhấn vào header ID</t>
  </si>
  <si>
    <t>Bảng sort theo thứ tự ID tăng dần</t>
  </si>
  <si>
    <t>Kiểm tra Header ID sort giảm</t>
  </si>
  <si>
    <t>Nhấn vào header ID 2 lần</t>
  </si>
  <si>
    <t>Bảng sort theo thứ tự ID giảm dần</t>
  </si>
  <si>
    <t>Kiểm tra Header Khách hàng sort tăng</t>
  </si>
  <si>
    <t>Kiểm tra Header Khách hàng sort giảm</t>
  </si>
  <si>
    <t>Nhấn vào header Khách hàng</t>
  </si>
  <si>
    <t>Nhấn vào header Khách hàng 2 lần</t>
  </si>
  <si>
    <t>Bảng sort theo thứ tự Khách hàng tăng dần</t>
  </si>
  <si>
    <t>Bảng sort theo thứ tự Khách hàng giảm dần</t>
  </si>
  <si>
    <t>Kiểm tra Header Nhân viên sort tăng</t>
  </si>
  <si>
    <t>Kiểm tra Header Nhân viên sort giảm</t>
  </si>
  <si>
    <t>Nhấn vào header Nhân viên</t>
  </si>
  <si>
    <t>Nhấn vào header Nhân viên 2 lần</t>
  </si>
  <si>
    <t>Bảng sort theo thứ tự Nhân viên tăng dần</t>
  </si>
  <si>
    <t>Bảng sort theo thứ tự Nhân viên giảm dần</t>
  </si>
  <si>
    <t>LSB_018</t>
  </si>
  <si>
    <t>Kiểm tra Header Số tiền sort tăng</t>
  </si>
  <si>
    <t>Kiểm tra Header Số tiền sort giảm</t>
  </si>
  <si>
    <t>Nhấn vào header Số tiền</t>
  </si>
  <si>
    <t>Nhấn vào header Số tiền 2 lần</t>
  </si>
  <si>
    <t>Bảng sort theo thứ tự Số tiền tăng dần</t>
  </si>
  <si>
    <t>Bảng sort theo thứ tự Số tiền giảm dần</t>
  </si>
  <si>
    <t>LSB_019</t>
  </si>
  <si>
    <t>LSB_020</t>
  </si>
  <si>
    <t>Kiểm tra Header Thời gian sort tăng</t>
  </si>
  <si>
    <t>Kiểm tra Header Thời gian sort giảm</t>
  </si>
  <si>
    <t>Nhấn vào header Thời gian</t>
  </si>
  <si>
    <t>Nhấn vào headerThời gian 2 lần</t>
  </si>
  <si>
    <t>Bảng sort theo thứ tự Thời gian tăng dần</t>
  </si>
  <si>
    <t>Bảng sort theo thứ tự Thời gian giảm dần</t>
  </si>
  <si>
    <t>LSB_021</t>
  </si>
  <si>
    <t>Kiểm tra màn hình Xem thông tin chi tiết</t>
  </si>
  <si>
    <t>Double Click vào dòng đầu tiên</t>
  </si>
  <si>
    <t>Hiển thị bảng xem chi tiết lịch sử bán</t>
  </si>
  <si>
    <t>LSB_022</t>
  </si>
  <si>
    <t>LSB_023</t>
  </si>
  <si>
    <t>Kiểm tra tổng thể giao diện màn hình Xem thông tin chi tiết</t>
  </si>
  <si>
    <t>1. Thanh Header gồm:
  - Tên sách
  - Số lượng
  - Đơn giá
  - Thành tiền
2. Focus chuột:
  - Normal khi không hover vào trường đặc biệt
  - hand khi ở trường click được
  - ibeam khi ở trường nhập liệu
3. Màu default, hover, select hợp lý</t>
  </si>
  <si>
    <t>LSB_024</t>
  </si>
  <si>
    <t>Kiểm tra màn hình Xem thông tin chi tiết (1) ở trạng thái mặc định</t>
  </si>
  <si>
    <t>Kiểm tra Header Tên sách (1)</t>
  </si>
  <si>
    <t>1. Double Click vào dòng đầu tiên
2. Kiểm tra giao diện</t>
  </si>
  <si>
    <t>LSB_025</t>
  </si>
  <si>
    <t>LSB_026</t>
  </si>
  <si>
    <t>LSB_027</t>
  </si>
  <si>
    <t>Kiểm tra Header Số lượng (1)</t>
  </si>
  <si>
    <t>Kiểm tra Header Đơn giá (1)</t>
  </si>
  <si>
    <t>Kiểm tra Header Thành tiền (1)</t>
  </si>
  <si>
    <t>LSB_028</t>
  </si>
  <si>
    <t>Kiểm tra Header Tên sách (1) sort tăng</t>
  </si>
  <si>
    <t>1. Double Click vào dòng đầu tiên
2. Nhấn vào header Tên sách</t>
  </si>
  <si>
    <t>Bảng sort theo thứ tự Tên sách tăng dần</t>
  </si>
  <si>
    <t>LSB_029</t>
  </si>
  <si>
    <t>Kiểm tra Header Tên sách (1) sort giảm</t>
  </si>
  <si>
    <t>1. Double Click vào dòng đầu tiên
2. Nhấn vào header Tên sách 2 lần</t>
  </si>
  <si>
    <t>Bảng sort theo thứ tự Tên sách giảm dần</t>
  </si>
  <si>
    <t>LSB_030</t>
  </si>
  <si>
    <t>Kiểm tra Button Đồng ý (1)</t>
  </si>
  <si>
    <t>LSB_031</t>
  </si>
  <si>
    <t>LSB_032</t>
  </si>
  <si>
    <t>Kiểm tra Header Số lượng (1) sort tăng</t>
  </si>
  <si>
    <t>Kiểm tra Header Số lượng (1) sort giảm</t>
  </si>
  <si>
    <t>1. Double Click vào dòng đầu tiên
2. Nhấn vào header Số lượng</t>
  </si>
  <si>
    <t>1. Double Click vào dòng đầu tiên
2. Nhấn vào header Số lượng 2 lần</t>
  </si>
  <si>
    <t>Bảng sort theo thứ tự Số lượng tăng dần</t>
  </si>
  <si>
    <t>Bảng sort theo thứ tự Số lượng giảm dần</t>
  </si>
  <si>
    <t>LSB_033</t>
  </si>
  <si>
    <t>LSB_034</t>
  </si>
  <si>
    <t>Kiểm tra Header Đơn giá (1) sort tăng</t>
  </si>
  <si>
    <t>Kiểm tra Header Đơn giá (1) sort giảm</t>
  </si>
  <si>
    <t>1. Double Click vào dòng đầu tiên
2. Nhấn vào header Đơn giá</t>
  </si>
  <si>
    <t>1. Double Click vào dòng đầu tiên
2. Nhấn vào header Đơn giá 2 lần</t>
  </si>
  <si>
    <t>Bảng sort theo thứ tự Đơn giá tăng dần</t>
  </si>
  <si>
    <t>Bảng sort theo thứ tự Đơn giá giảm dần</t>
  </si>
  <si>
    <t>LSB_035</t>
  </si>
  <si>
    <t>LSB_036</t>
  </si>
  <si>
    <t>Kiểm tra Header Thành tiền (1) sort tăng</t>
  </si>
  <si>
    <t>Kiểm tra Header Thành tiền (1) sort giảm</t>
  </si>
  <si>
    <t>1. Double Click vào dòng đầu tiên
2. Nhấn vào header Thành tiền</t>
  </si>
  <si>
    <t>1. Double Click vào dòng đầu tiên
2. Nhấn vào header Thành tiền 2 lần</t>
  </si>
  <si>
    <t>Bảng sort theo thứ tự Thành tiền tăng dần</t>
  </si>
  <si>
    <t>Bảng sort theo thứ tự Thành tiền giảm dần</t>
  </si>
  <si>
    <t>LSB_037</t>
  </si>
  <si>
    <t>1. Double Click vào dòng đầu tiên
2. Click vào button đồng ý</t>
  </si>
  <si>
    <t>Quay về màn hình Lịch sử bán</t>
  </si>
  <si>
    <t>Thông tin kho sách</t>
  </si>
  <si>
    <t>TTKS_001</t>
  </si>
  <si>
    <t>TTKS_002</t>
  </si>
  <si>
    <t>TTKS_003</t>
  </si>
  <si>
    <t>TTKS_004</t>
  </si>
  <si>
    <t>TTKS_005</t>
  </si>
  <si>
    <t>TTKS_006</t>
  </si>
  <si>
    <t>TTKS_007</t>
  </si>
  <si>
    <t>TTKS_008</t>
  </si>
  <si>
    <t>TTKS_009</t>
  </si>
  <si>
    <t>TTKS_010</t>
  </si>
  <si>
    <t>TTKS_011</t>
  </si>
  <si>
    <t>TTKS_012</t>
  </si>
  <si>
    <t>TTKS_013</t>
  </si>
  <si>
    <t>TTKS_014</t>
  </si>
  <si>
    <t>TTKS_015</t>
  </si>
  <si>
    <t>TTKS_016</t>
  </si>
  <si>
    <t>TTKS_017</t>
  </si>
  <si>
    <t>TTKS_018</t>
  </si>
  <si>
    <t>TTKS_019</t>
  </si>
  <si>
    <t>TTKS_020</t>
  </si>
  <si>
    <t>TTKS_021</t>
  </si>
  <si>
    <t>TTKS_022</t>
  </si>
  <si>
    <t>TTKS_023</t>
  </si>
  <si>
    <t>TTKS_024</t>
  </si>
  <si>
    <t>TTKS_025</t>
  </si>
  <si>
    <t>TTKS_026</t>
  </si>
  <si>
    <t>TTKS_027</t>
  </si>
  <si>
    <t>TTKS_028</t>
  </si>
  <si>
    <t>TTKS_029</t>
  </si>
  <si>
    <t>TTKS_030</t>
  </si>
  <si>
    <t>TTKS_031</t>
  </si>
  <si>
    <t>TTKS_032</t>
  </si>
  <si>
    <t>TTKS_033</t>
  </si>
  <si>
    <t>TTKS_034</t>
  </si>
  <si>
    <t>TTKS_035</t>
  </si>
  <si>
    <t>TTKS_036</t>
  </si>
  <si>
    <t>TTKS_037</t>
  </si>
  <si>
    <t>1. Form được bố trí hợp lý và dễ sử dụng, các control có độ dài, rộng và khoảng cách thống nhất, không xô lệch
2. Các control sử dụng cùng 1 loại font, cỡ chữ, căn lề
3. Màu ô select và màu ô hover hợp lý
4. Các trường hợp bắt buộc nhập có cảnh báo
5. Không có lỗi về chính tả, cấu trúc câu, ngữ pháp trên màn hình</t>
  </si>
  <si>
    <t>1. Kiểm tra về bố cục
2. Kiểm tra về font chữ, chính tả, màu chữ
3. Kiểm tra về màu ô
4. Kiểm tra trường nhập bắt buộc
5. Kiểm tra về chính tả ngữ pháp</t>
  </si>
  <si>
    <t>Kiểm tra màn hình Danh sách (1)</t>
  </si>
  <si>
    <t>1. Thanh Header gồm:
  - ID
  - Tên sách
  - Thể loại chính
  - Đã bán
  - Tồn kho
  - Giá nhập
  - Giá xuất
2. Focus chuột:
  - Normal khi không hover vào trường đặc biệt
  - hand khi ở trường click được
  - ibeam khi ở trường nhập liệu
3. Màu default, hover, select hợp lý</t>
  </si>
  <si>
    <t>Kiểm tra tổng thể giao diện màn hình Danh sách (1)</t>
  </si>
  <si>
    <t>Kiểm tra Header ID (1)</t>
  </si>
  <si>
    <t>Kiểm tra Header Thể loại chính (1)</t>
  </si>
  <si>
    <t>Kiểm tra Header Đã bán (1)</t>
  </si>
  <si>
    <t>Kiểm tra Header Tồn kho (1)</t>
  </si>
  <si>
    <t>Kiểm tra Header Giá nhập (1)</t>
  </si>
  <si>
    <t>Kiểm tra Header Giá xuất (1)</t>
  </si>
  <si>
    <t>Kiểm tra Button Thêm (1)</t>
  </si>
  <si>
    <t>Kiểm tra Button Sửa (1)</t>
  </si>
  <si>
    <t>Kiểm tra Button Xóa (1)</t>
  </si>
  <si>
    <t>Kiểm tra Header ID sort tăng (1)</t>
  </si>
  <si>
    <t>Kiểm tra Header ID sort giảm (1)</t>
  </si>
  <si>
    <t>Kiểm tra Header Tên sách sort tăng (1)</t>
  </si>
  <si>
    <t>Kiểm tra Header Tên sách sort giảm (1)</t>
  </si>
  <si>
    <t>Kiểm tra Header Giá xuất sort giảm (1)</t>
  </si>
  <si>
    <t>Kiểm tra Header Giá xuất sort tăng (1)</t>
  </si>
  <si>
    <t>Kiểm tra Header Giá nhập sort giảm (1)</t>
  </si>
  <si>
    <t>Kiểm tra Header Giá nhập sort tăng (1)</t>
  </si>
  <si>
    <t>Kiểm tra Header Tồn kho sort giảm (1)</t>
  </si>
  <si>
    <t>Kiểm tra Header Tồn kho sort tăng (1)</t>
  </si>
  <si>
    <t>Kiểm tra Header Đã bán sort giảm (1)</t>
  </si>
  <si>
    <t>Kiểm tra Header Đã bán sort tăng (1)</t>
  </si>
  <si>
    <t>Kiểm tra Header Thể loại chính sort giảm (1)</t>
  </si>
  <si>
    <t>Kiểm tra Header Thể loại chính sort tăng (1)</t>
  </si>
  <si>
    <t>Nhấn vào header ID (1)</t>
  </si>
  <si>
    <t>Nhấn vào header ID (1) 2 lần</t>
  </si>
  <si>
    <t>Nhấn vào header Tên sách (1)</t>
  </si>
  <si>
    <t>Nhấn vào header Tên sách (1) 2 lần</t>
  </si>
  <si>
    <t>Nhấn vào header Thể loại chính (1)</t>
  </si>
  <si>
    <t>Nhấn vào header Thể loại chính (1) 2 lần</t>
  </si>
  <si>
    <t>Nhấn vào header Đã bán (1)</t>
  </si>
  <si>
    <t>Nhấn vào header Đã bán (1) 2 lần</t>
  </si>
  <si>
    <t>Nhấn vào header Tồn kho (1)</t>
  </si>
  <si>
    <t>Nhấn vào header Tồn kho (1) 2 lần</t>
  </si>
  <si>
    <t>Nhấn vào header Giá nhập (1)</t>
  </si>
  <si>
    <t>Nhấn vào header Giá nhập (1) 2 lần</t>
  </si>
  <si>
    <t>Nhấn vào header Giá xuất (1)</t>
  </si>
  <si>
    <t>Nhấn vào header Giá xuất (1) 2 lần</t>
  </si>
  <si>
    <t>Bảng sort theo thứ tự Giá xuất (1) giảm dần</t>
  </si>
  <si>
    <t>Bảng sort theo thứ tự Giá xuất (1) tăng dần</t>
  </si>
  <si>
    <t>Bảng sort theo thứ tự Giá nhập (1) giảm dần</t>
  </si>
  <si>
    <t>Bảng sort theo thứ tự Giá nhập (1) tăng dần</t>
  </si>
  <si>
    <t>Bảng sort theo thứ tự Tồn kho (1) giảm dần</t>
  </si>
  <si>
    <t>Bảng sort theo thứ tự Tồn kho (1) tăng dần</t>
  </si>
  <si>
    <t>Bảng sort theo thứ tự Đã bán (1) giảm dần</t>
  </si>
  <si>
    <t>Bảng sort theo thứ tự Đã bán (1) tăng dần</t>
  </si>
  <si>
    <t>Bảng sort theo thứ tự Thể loại chính (1) giảm dần</t>
  </si>
  <si>
    <t>Bảng sort theo thứ tự Thể loại chính (1) tăng dần</t>
  </si>
  <si>
    <t>Bảng sort theo thứ tự Tên sách (1) giảm dần</t>
  </si>
  <si>
    <t>Bảng sort theo thứ tự Tên sách (1) tăng dần</t>
  </si>
  <si>
    <t>Bảng sort theo thứ tự ID (1) giảm dần</t>
  </si>
  <si>
    <t>Bảng sort theo thứ tự ID (1) tăng dần</t>
  </si>
  <si>
    <t>Hiện màn hình thêm</t>
  </si>
  <si>
    <t>1. Chọn dòng đầu tiên
2. Nhấn vào Button Sửa (1)</t>
  </si>
  <si>
    <t>Nhấn vào Button Thêm (1)</t>
  </si>
  <si>
    <t>1. Chọn dòng đầu tiên
2. Nhấn vào Button Xóa (1)</t>
  </si>
  <si>
    <t>Hiện màn hình sửa</t>
  </si>
  <si>
    <t>Xóa dòng đầu tiên</t>
  </si>
  <si>
    <t>Kiểm tra màn hình Thêm (2)</t>
  </si>
  <si>
    <t>1. Kiểm tra thanh các trường của bảng
2. Kiểm tra focus của chuột</t>
  </si>
  <si>
    <t>1. Các trường gồm:
  - Tên sách
  - Tên tác giả
  - NXB
  - Năm xuất bản
  - Thể loại
  - Tóm tắt
  - Giá gốc
  - Giá bán
  - Bìa sách
2. Focus chuột:
  - Normal khi không hover vào trường đặc biệt
  - hand khi ở trường click được
  - ibeam khi ở trường nhập liệu</t>
  </si>
  <si>
    <t>Kiểm tra tổng thể giao diện màn hình Thêm (2)</t>
  </si>
  <si>
    <t>Kiểm tra Textbox Tên sách (2)</t>
  </si>
  <si>
    <t>TTKS_038</t>
  </si>
  <si>
    <t>TTKS_039</t>
  </si>
  <si>
    <t>TTKS_040</t>
  </si>
  <si>
    <t>TTKS_041</t>
  </si>
  <si>
    <t>TTKS_042</t>
  </si>
  <si>
    <t>TTKS_043</t>
  </si>
  <si>
    <t>Kiểm tra Textbox Tên tác giả (2)</t>
  </si>
  <si>
    <t>Kiểm tra Textbox Tên nhà xuất bản (2)</t>
  </si>
  <si>
    <t>Kiểm tra Textbox Năm (2)</t>
  </si>
  <si>
    <t>Kiểm tra Textbox Thể loại(2)</t>
  </si>
  <si>
    <t>Kiểm tra Textblock Tóm tắt sách (2)</t>
  </si>
  <si>
    <t>Kiểm tra Textbox Giá gốc (2)</t>
  </si>
  <si>
    <t>Kiểm tra Textbox Giá bán (2)</t>
  </si>
  <si>
    <t>TTKS_044</t>
  </si>
  <si>
    <t>Hình ảnh fill hết vùng, canh lề hợp lý</t>
  </si>
  <si>
    <t>TTKS_045</t>
  </si>
  <si>
    <t>TTKS_046</t>
  </si>
  <si>
    <t>Kiểm tra Button Chọn hình (2)</t>
  </si>
  <si>
    <t>Kiểm tra Button Đồng ý (2)</t>
  </si>
  <si>
    <t>TTKS_047</t>
  </si>
  <si>
    <t>Kiểm tra Button Nhập lại (2)</t>
  </si>
  <si>
    <t>TTKS_048</t>
  </si>
  <si>
    <t>1. Nhấn vào Button Chọn hình (2)
2. Chọn một hình ảnh trong máy</t>
  </si>
  <si>
    <t>Kiểm tra Image Bìa sách (2)</t>
  </si>
  <si>
    <t>Image Bìa sách (2) hiển thị đúng hình được chọn</t>
  </si>
  <si>
    <t>TTKS_049</t>
  </si>
  <si>
    <t>Kiểm tra Button Đồng ý (2) với dữ liệu đúng</t>
  </si>
  <si>
    <t>1. Chọn ảnh bìa trong máy
2. Nhập tên sách "Sách 1"
3. Nhập tên tác giả "Tác giả 1"
4. Nhập tên nhà xuất bản "Nhà xuất bản 1"
5. Nhập năm xuất bản "2020"
6. Thêm thể loại "Hài"
7. Nhập tóm tắt "Tóm tắt sách"
8. Nhập giá gốc "10000"
9. Nhập giá bán "10000"
10. Click vào Button Đồng ý</t>
  </si>
  <si>
    <t>Thêm sách thành công</t>
  </si>
  <si>
    <t>TTKS_050</t>
  </si>
  <si>
    <t>Kiểm tra Button Đồng ý (2) với dữ liệu sai</t>
  </si>
  <si>
    <t>1. Nhập tên sách "Sách 1"
2. Nhập tên tác giả "Tác giả 1"
3. Nhập tên nhà xuất bản "Nhà xuất bản 1"
4. Nhập năm xuất bản "2020"
5. Thêm thể loại "Hài"
6. Nhập tóm tắt "Tóm tắt sách"
7. Nhập giá gốc "10000"
8. Nhập giá bán "10000"
9. Click vào Button Đồng ý</t>
  </si>
  <si>
    <t>TTKS_051</t>
  </si>
  <si>
    <t>1. Chọn ảnh bìa trong máy
2. Nhập tên tác giả "Tác giả 1"
3. Nhập tên nhà xuất bản "Nhà xuất bản 1"
4. Nhập năm xuất bản "2020"
5. Thêm thể loại "Hài"
6. Nhập tóm tắt "Tóm tắt sách"
7. Nhập giá gốc "10000"
8. Nhập giá bán "10000"
9. Click vào Button Đồng ý</t>
  </si>
  <si>
    <t>Bắt buộc phải Nhập tên sách</t>
  </si>
  <si>
    <t>Bắt buộc phải chọn ảnh bìa</t>
  </si>
  <si>
    <t>TTKS_052</t>
  </si>
  <si>
    <t>TTKS_053</t>
  </si>
  <si>
    <t>TTKS_054</t>
  </si>
  <si>
    <t>TTKS_055</t>
  </si>
  <si>
    <t>TTKS_056</t>
  </si>
  <si>
    <t>TTKS_057</t>
  </si>
  <si>
    <t>TTKS_058</t>
  </si>
  <si>
    <t>1. Chọn ảnh bìa trong máy
2. Nhập tên sách "Sách 1"
3. Nhập tên nhà xuất bản "Nhà xuất bản 1"
4. Nhập năm xuất bản "2020"
5. Thêm thể loại "Hài"
6. Nhập tóm tắt "Tóm tắt sách"
7. Nhập giá gốc "10000"
8. Nhập giá bán "10000"
9. Click vào Button Đồng ý</t>
  </si>
  <si>
    <t>Bắt buộc phải Nhập tên tác giả</t>
  </si>
  <si>
    <t>1. Chọn ảnh bìa trong máy
2. Nhập tên sách "Sách 1"
3. Nhập tên tác giả "Tác giả 1"
4. Nhập năm xuất bản "2020"
5. Thêm thể loại "Hài"
6. Nhập tóm tắt "Tóm tắt sách"
7. Nhập giá gốc "10000"
8. Nhập giá bán "10000"
9. Click vào Button Đồng ý</t>
  </si>
  <si>
    <t>Bắt buộc phải Nhập tên nhà xuất bản</t>
  </si>
  <si>
    <t>1. Chọn ảnh bìa trong máy
2. Nhập tên sách "Sách 1"
3. Nhập tên tác giả "Tác giả 1"
4. Nhập tên nhà xuất bản "Nhà xuất bản 1"
5. Thêm thể loại "Hài"
6. Nhập tóm tắt "Tóm tắt sách"
7. Nhập giá gốc "10000"
8. Nhập giá bán "10000"
9. Click vào Button Đồng ý</t>
  </si>
  <si>
    <t>Bắt buộc phải Nhập năm xuất bản</t>
  </si>
  <si>
    <t>1. Chọn ảnh bìa trong máy
2. Nhập tên sách "Sách 1"
3. Nhập tên tác giả "Tác giả 1"
4. Nhập tên nhà xuất bản "Nhà xuất bản 1"
5. Nhập năm xuất bản "2020"
6. Nhập tóm tắt "Tóm tắt sách"
7. Nhập giá gốc "10000"
8. Nhập giá bán "10000"
9. Click vào Button Đồng ý</t>
  </si>
  <si>
    <t>Bắt buộc phải Nhập ít nhất một thể loại</t>
  </si>
  <si>
    <t>Bắt buộc phải Viết tóm tắt ngắn cho sách</t>
  </si>
  <si>
    <t>1. Chọn ảnh bìa trong máy
2. Nhập tên sách "Sách 1"
3. Nhập tên tác giả "Tác giả 1"
4. Nhập tên nhà xuất bản "Nhà xuất bản 1"
5. Nhập năm xuất bản "2020"
6. Thêm thể loại "Hài"
7. Nhập giá gốc "10000"
8. Nhập giá bán "10000"
9. Click vào Button Đồng ý</t>
  </si>
  <si>
    <t>1. Chọn ảnh bìa trong máy
2. Nhập tên sách "Sách 1"
3. Nhập tên tác giả "Tác giả 1"
4. Nhập tên nhà xuất bản "Nhà xuất bản 1"
5. Nhập năm xuất bản "2020"
6. Thêm thể loại "Hài"
7. Nhập tóm tắt "Tóm tắt sách"
8. Nhập giá bán "10000"
9. Click vào Button Đồng ý</t>
  </si>
  <si>
    <t>Bắt buộc phải Nhập giá gốc</t>
  </si>
  <si>
    <t>TTKS_059</t>
  </si>
  <si>
    <t>1. Chọn ảnh bìa trong máy
2. Nhập tên sách "Sách 1"
3. Nhập tên tác giả "Tác giả 1"
4. Nhập tên nhà xuất bản "Nhà xuất bản 1"
5. Nhập năm xuất bản "2020"
6. Thêm thể loại "Hài"
7. Nhập tóm tắt "Tóm tắt sách"
8. Nhập giá gốc "10000"
9. Click vào Button Đồng ý</t>
  </si>
  <si>
    <t>Bắt buộc phải Nhập giá bán</t>
  </si>
  <si>
    <t>1. Chọn ảnh bìa trong máy
2. Nhập tên sách "Sách 1"
3. Nhập tên tác giả "Tác giả 1"
4. Nhập tên nhà xuất bản "Nhà xuất bản 1"
5. Nhập năm xuất bản "2020"
6. Thêm thể loại "Hài"
7. Nhập tóm tắt "Tóm tắt sách"
8. Nhập giá gốc "10000"
9. Nhập giá bán "9000"
10. Click vào Button Đồng ý</t>
  </si>
  <si>
    <t>Bắt buộc Giá bán phải lớn hơn hoặc bằng giá gốc</t>
  </si>
  <si>
    <t>TTKS_060</t>
  </si>
  <si>
    <t>1. Chọn ảnh bìa trong máy
2. Nhập tên sách "Sách 1"
3. Nhập tên tác giả "Tác giả 1"
4. Nhập tên nhà xuất bản "Nhà xuất bản 1"
5. Nhập năm xuất bản "2020"
6. Thêm thể loại "Hài"
7. Nhập tóm tắt "Tóm tắt sách"
8. Nhập giá gốc "10000"
9. Nhập giá bán "10000"
10. Click vào Button Nhập lại</t>
  </si>
  <si>
    <t>Xóa dữ liệu của tất cả các trường</t>
  </si>
  <si>
    <t>Kiểm tra Textbox Tên sách (3)</t>
  </si>
  <si>
    <t>Kiểm tra Textbox Tên tác giả (3)</t>
  </si>
  <si>
    <t>Kiểm tra Textbox Tên nhà xuất bản (3)</t>
  </si>
  <si>
    <t>Kiểm tra Textbox Năm (3)</t>
  </si>
  <si>
    <t>Kiểm tra Textbox Thể loại(3)</t>
  </si>
  <si>
    <t>Kiểm tra Textblock Tóm tắt sách (3)</t>
  </si>
  <si>
    <t>Kiểm tra Textbox Giá gốc (3)</t>
  </si>
  <si>
    <t>Kiểm tra Textbox Giá bán (3)</t>
  </si>
  <si>
    <t>Kiểm tra Image Bìa sách (3)</t>
  </si>
  <si>
    <t>Kiểm tra Button Chọn hình (3)</t>
  </si>
  <si>
    <t>Kiểm tra Button Đồng ý (3)</t>
  </si>
  <si>
    <t>1. Nhấn vào Button Chọn hình (3)
2. Chọn một hình ảnh trong máy</t>
  </si>
  <si>
    <t>Image Bìa sách (3) hiển thị đúng hình được chọn</t>
  </si>
  <si>
    <t>Kiểm tra Button Đồng ý (3) với dữ liệu đúng</t>
  </si>
  <si>
    <t>Kiểm tra Button Đồng ý (3) với dữ liệu sai</t>
  </si>
  <si>
    <t>TTKS_061</t>
  </si>
  <si>
    <t>TTKS_062</t>
  </si>
  <si>
    <t>TTKS_063</t>
  </si>
  <si>
    <t>TTKS_064</t>
  </si>
  <si>
    <t>TTKS_065</t>
  </si>
  <si>
    <t>TTKS_066</t>
  </si>
  <si>
    <t>TTKS_067</t>
  </si>
  <si>
    <t>TTKS_068</t>
  </si>
  <si>
    <t>TTKS_069</t>
  </si>
  <si>
    <t>TTKS_070</t>
  </si>
  <si>
    <t>TTKS_071</t>
  </si>
  <si>
    <t>TTKS_072</t>
  </si>
  <si>
    <t>TTKS_073</t>
  </si>
  <si>
    <t>TTKS_074</t>
  </si>
  <si>
    <t>TTKS_075</t>
  </si>
  <si>
    <t>TTKS_076</t>
  </si>
  <si>
    <t>TTKS_077</t>
  </si>
  <si>
    <t>TTKS_078</t>
  </si>
  <si>
    <t>TTKS_079</t>
  </si>
  <si>
    <t>TTKS_080</t>
  </si>
  <si>
    <t>TTKS_081</t>
  </si>
  <si>
    <t>TTKS_082</t>
  </si>
  <si>
    <t>TTKS_083</t>
  </si>
  <si>
    <t>TTKS_084</t>
  </si>
  <si>
    <t>TTKS_085</t>
  </si>
  <si>
    <t>TTKS_086</t>
  </si>
  <si>
    <t>TTKS_087</t>
  </si>
  <si>
    <t>Kiểm tra Button Hủy (3)</t>
  </si>
  <si>
    <t>Cập nhật sách thành công</t>
  </si>
  <si>
    <t>Hủy cập nhật sách</t>
  </si>
  <si>
    <t>1. Double click vào dòng đầu tiên
2. Chọn ảnh bìa trong máy
3. Nhập tên sách "Sách 1"
4. Nhập tên tác giả "Tác giả 1"
5. Nhập tên nhà xuất bản "Nhà xuất bản 1"
6. Nhập năm xuất bản "2020"
7. Thêm thể loại "Hài"
8. Nhập tóm tắt "Tóm tắt sách"
9. Nhập giá gốc "10000"
10. Nhập giá bán "10000"
11. Click vào Button Đồng ý</t>
  </si>
  <si>
    <t>1. Double click vào dòng đầu tiên
2. Nhập tên sách "Sách 1"
3. Nhập tên tác giả "Tác giả 1"
4. Nhập tên nhà xuất bản "Nhà xuất bản 1"
5. Nhập năm xuất bản "2020"
6. Thêm thể loại "Hài"
7. Nhập tóm tắt "Tóm tắt sách"
8. Nhập giá gốc "10000"
9. Nhập giá bán "10000"
10. Click vào Button Đồng ý</t>
  </si>
  <si>
    <t>1. Double click vào dòng đầu tiên
2. Chọn ảnh bìa trong máy
3. Nhập tên tác giả "Tác giả 1"
4. Nhập tên nhà xuất bản "Nhà xuất bản 1"
5. Nhập năm xuất bản "2020"
6. Thêm thể loại "Hài"
7. Nhập tóm tắt "Tóm tắt sách"
8. Nhập giá gốc "10000"
9. Nhập giá bán "10000"
10. Click vào Button Đồng ý</t>
  </si>
  <si>
    <t>1. Double click vào dòng đầu tiên
2. Chọn ảnh bìa trong máy
3. Nhập tên sách "Sách 1"
4. Nhập tên nhà xuất bản "Nhà xuất bản 1"
5. Nhập năm xuất bản "2020"
6. Thêm thể loại "Hài"
7. Nhập tóm tắt "Tóm tắt sách"
8. Nhập giá gốc "10000"
9. Nhập giá bán "10000"
10. Click vào Button Đồng ý</t>
  </si>
  <si>
    <t>1. Double click vào dòng đầu tiên
2. Chọn ảnh bìa trong máy
3. Nhập tên sách "Sách 1"
4. Nhập tên tác giả "Tác giả 1"
5. Nhập năm xuất bản "2020"
6. Thêm thể loại "Hài"
7. Nhập tóm tắt "Tóm tắt sách"
8. Nhập giá gốc "10000"
9. Nhập giá bán "10000"
10. Click vào Button Đồng ý</t>
  </si>
  <si>
    <t>1. Double click vào dòng đầu tiên
2. Chọn ảnh bìa trong máy
3. Nhập tên sách "Sách 1"
4. Nhập tên tác giả "Tác giả 1"
5. Nhập tên nhà xuất bản "Nhà xuất bản 1"
6. Thêm thể loại "Hài"
7. Nhập tóm tắt "Tóm tắt sách"
8. Nhập giá gốc "10000"
9. Nhập giá bán "10000"
10. Click vào Button Đồng ý</t>
  </si>
  <si>
    <t>1. Double click vào dòng đầu tiên
2. Chọn ảnh bìa trong máy
3. Nhập tên sách "Sách 1"
4. Nhập tên tác giả "Tác giả 1"
5. Nhập tên nhà xuất bản "Nhà xuất bản 1"
6. Nhập năm xuất bản "2020"
7. Nhập tóm tắt "Tóm tắt sách"
8. Nhập giá gốc "10000"
9. Nhập giá bán "10000"
10. Click vào Button Đồng ý</t>
  </si>
  <si>
    <t>1. Double click vào dòng đầu tiên
2. Chọn ảnh bìa trong máy
3. Nhập tên sách "Sách 1"
4. Nhập tên tác giả "Tác giả 1"
5. Nhập tên nhà xuất bản "Nhà xuất bản 1"
6. Nhập năm xuất bản "2020"
7. Thêm thể loại "Hài"
8. Nhập giá gốc "10000"
9. Nhập giá bán "10000"
10. Click vào Button Đồng ý</t>
  </si>
  <si>
    <t>1. Double click vào dòng đầu tiên
2. Chọn ảnh bìa trong máy
3. Nhập tên sách "Sách 1"
4. Nhập tên tác giả "Tác giả 1"
5. Nhập tên nhà xuất bản "Nhà xuất bản 1"
6. Nhập năm xuất bản "2020"
7. Thêm thể loại "Hài"
8. Nhập tóm tắt "Tóm tắt sách"
9. Nhập giá bán "10000"
10. Click vào Button Đồng ý</t>
  </si>
  <si>
    <t>1. Double click vào dòng đầu tiên
2. Chọn ảnh bìa trong máy
3. Nhập tên sách "Sách 1"
4. Nhập tên tác giả "Tác giả 1"
5. Nhập tên nhà xuất bản "Nhà xuất bản 1"
6. Nhập năm xuất bản "2020"
7. Thêm thể loại "Hài"
8. Nhập tóm tắt "Tóm tắt sách"
9. Nhập giá gốc "10000"
10. Click vào Button Đồng ý</t>
  </si>
  <si>
    <t>1. Double click vào dòng đầu tiên
2. Chọn ảnh bìa trong máy
3. Nhập tên sách "Sách 1"
4. Nhập tên tác giả "Tác giả 1"
5. Nhập tên nhà xuất bản "Nhà xuất bản 1"
6. Nhập năm xuất bản "2020"
7. Thêm thể loại "Hài"
8. Nhập tóm tắt "Tóm tắt sách"
9. Nhập giá gốc "10000"
10. Nhập giá bán "9000"
11. Click vào Button Đồng ý</t>
  </si>
  <si>
    <t>1. Double click vào dòng đầu tiên
2. Chọn ảnh bìa trong máy
3. Nhập tên sách "Sách 1"
4. Nhập tên tác giả "Tác giả 1"
5. Nhập tên nhà xuất bản "Nhà xuất bản 1"
6. Nhập năm xuất bản "2020"
7. Thêm thể loại "Hài"
8. Nhập tóm tắt "Tóm tắt sách"
9. Nhập giá gốc "10000"
10. Nhập giá bán "10000"
11. Click vào Button Hủy</t>
  </si>
  <si>
    <t>Thông tin nhập kho</t>
  </si>
  <si>
    <t>TTNK_001</t>
  </si>
  <si>
    <t>TTNK_002</t>
  </si>
  <si>
    <t>TTNK_003</t>
  </si>
  <si>
    <t>TTNK_004</t>
  </si>
  <si>
    <t>TTNK_005</t>
  </si>
  <si>
    <t>TTNK_006</t>
  </si>
  <si>
    <t>TTNK_007</t>
  </si>
  <si>
    <t>TTNK_008</t>
  </si>
  <si>
    <t>TTNK_009</t>
  </si>
  <si>
    <t>TTNK_010</t>
  </si>
  <si>
    <t>TTNK_011</t>
  </si>
  <si>
    <t>TTNK_012</t>
  </si>
  <si>
    <t>TTNK_013</t>
  </si>
  <si>
    <t>TTNK_014</t>
  </si>
  <si>
    <t>TTNK_015</t>
  </si>
  <si>
    <t>TTNK_016</t>
  </si>
  <si>
    <t>TTNK_017</t>
  </si>
  <si>
    <t>TTNK_018</t>
  </si>
  <si>
    <t>TTNK_019</t>
  </si>
  <si>
    <t>TTNK_020</t>
  </si>
  <si>
    <t>TTNK_021</t>
  </si>
  <si>
    <t>TTNK_022</t>
  </si>
  <si>
    <t>TTNK_023</t>
  </si>
  <si>
    <t>TTNK_024</t>
  </si>
  <si>
    <t>TTNK_025</t>
  </si>
  <si>
    <t>TTNK_026</t>
  </si>
  <si>
    <t>TTNK_027</t>
  </si>
  <si>
    <t>TTNK_028</t>
  </si>
  <si>
    <t>TTNK_029</t>
  </si>
  <si>
    <t>TTNK_030</t>
  </si>
  <si>
    <t>TTNK_031</t>
  </si>
  <si>
    <t>TTNK_032</t>
  </si>
  <si>
    <t>TTNK_033</t>
  </si>
  <si>
    <t>TTNK_034</t>
  </si>
  <si>
    <t>TTNK_035</t>
  </si>
  <si>
    <t>TTNK_036</t>
  </si>
  <si>
    <t>TTNK_037</t>
  </si>
  <si>
    <t>TTNK_038</t>
  </si>
  <si>
    <t>TTNK_039</t>
  </si>
  <si>
    <t>TTNK_040</t>
  </si>
  <si>
    <t>TTNK_041</t>
  </si>
  <si>
    <t>TTNK_042</t>
  </si>
  <si>
    <t>TTNK_043</t>
  </si>
  <si>
    <t>TTNK_044</t>
  </si>
  <si>
    <t>TTNK_045</t>
  </si>
  <si>
    <t>TTNK_046</t>
  </si>
  <si>
    <t>TTNK_047</t>
  </si>
  <si>
    <t>TTNK_048</t>
  </si>
  <si>
    <t>TTNK_049</t>
  </si>
  <si>
    <t>TTNK_050</t>
  </si>
  <si>
    <t>TTNK_051</t>
  </si>
  <si>
    <t>TTNK_052</t>
  </si>
  <si>
    <t>TTNK_053</t>
  </si>
  <si>
    <t>Kiểm tra Header Tên quản lý kho (1)</t>
  </si>
  <si>
    <t>Kiểm tra Header Thời gian (1)</t>
  </si>
  <si>
    <t>Kiểm tra Header Tổng tiền (1)</t>
  </si>
  <si>
    <t>Kiểm tra Header Ghi chú (1)</t>
  </si>
  <si>
    <t>Kiểm tra Header Tên quản lý kho sort tăng (1)</t>
  </si>
  <si>
    <t>Nhấn vào header Tên quản lý kho (1)</t>
  </si>
  <si>
    <t>Bảng sort theo thứ tự Tên quản lý kho (1) tăng dần</t>
  </si>
  <si>
    <t>Kiểm tra Header Tên quản lý kho sort giảm (1)</t>
  </si>
  <si>
    <t>Nhấn vào header Tên quản lý kho (1) 2 lần</t>
  </si>
  <si>
    <t>Bảng sort theo thứ tự Tên quản lý kho (1) giảm dần</t>
  </si>
  <si>
    <t>Kiểm tra Header Thời gian sort tăng (1)</t>
  </si>
  <si>
    <t>Nhấn vào header Thời gian (1)</t>
  </si>
  <si>
    <t>Bảng sort theo thứ tự Thời gian (1) tăng dần</t>
  </si>
  <si>
    <t>Kiểm tra Header Thời gian sort giảm (1)</t>
  </si>
  <si>
    <t>Nhấn vào header Thời gian (1) 2 lần</t>
  </si>
  <si>
    <t>Bảng sort theo thứ tự Thời gian (1) giảm dần</t>
  </si>
  <si>
    <t>Kiểm tra Header Tổng tiền sort tăng (1)</t>
  </si>
  <si>
    <t>Kiểm tra Header Tổng tiền sort giảm (1)</t>
  </si>
  <si>
    <t>Nhấn vào header Tổng tiền (1)</t>
  </si>
  <si>
    <t>Nhấn vào header Tổng tiền (1) 2 lần</t>
  </si>
  <si>
    <t>Bảng sort theo thứ tự Tổng tiền (1) tăng dần</t>
  </si>
  <si>
    <t>Bảng sort theo thứ tự Tổng tiền (1) giảm dần</t>
  </si>
  <si>
    <t>Kiểm tra Header Ghi chú sort tăng (1)</t>
  </si>
  <si>
    <t>Kiểm tra Header Ghi chú sort giảm (1)</t>
  </si>
  <si>
    <t>Nhấn vào header Ghi chú (1)</t>
  </si>
  <si>
    <t>Nhấn vào header Ghi chú (1) 2 lần</t>
  </si>
  <si>
    <t>Bảng sort theo thứ tự Ghi chú (1) tăng dần</t>
  </si>
  <si>
    <t>Bảng sort theo thứ tự Ghi chú (1) giảm dần</t>
  </si>
  <si>
    <t>1. Kiểm tra thanh các trường của màn hình
2. Kiểm tra focus của chuột</t>
  </si>
  <si>
    <t>Kiểm tra Textbox Tên nhà cung cấp (2)</t>
  </si>
  <si>
    <t>1. Các trường gồm:
  - Tên nhà cung cấp
  - Danh sách sách
    + Header Tên sách
    + Header Số lượng
    + Header Đơn giá
    + Header Thành tiền
  - Ghi chú
2. Focus chuột:
  - Normal khi không hover vào trường đặc biệt
  - hand khi ở trường click được
  - ibeam khi ở trường nhập liệu</t>
  </si>
  <si>
    <t>Kiểm tra Header Tên sách (2)</t>
  </si>
  <si>
    <t>Kiểm tra Header Số lượng (2)</t>
  </si>
  <si>
    <t>Kiểm tra Header Đơn giá (2)</t>
  </si>
  <si>
    <t>Kiểm tra Header Thành tiền (2)</t>
  </si>
  <si>
    <t>Kiểm tra Textbox Ghi chú cung cấp (2)</t>
  </si>
  <si>
    <t>Kiểm tra Button Thêm sách xuất kho (2)</t>
  </si>
  <si>
    <t>Kiểm tra Button Hủy (2)</t>
  </si>
  <si>
    <t>Kiểm tra Header Tên sách sort tăng (2)</t>
  </si>
  <si>
    <t>Nhấn vào header Tên sách (2)</t>
  </si>
  <si>
    <t>Kiểm tra Header Tên sách sort giảm (2)</t>
  </si>
  <si>
    <t>Kiểm tra Header Số lượng sort tăng (2)</t>
  </si>
  <si>
    <t>Kiểm tra Header Số lượng sort giảm (2)</t>
  </si>
  <si>
    <t>Kiểm tra Header Đơn giá sort tăng (2)</t>
  </si>
  <si>
    <t>Kiểm tra Header Đơn giá sort giảm (2)</t>
  </si>
  <si>
    <t>Kiểm tra Header Thành tiền sort tăng (2)</t>
  </si>
  <si>
    <t>Kiểm tra Header Thành tiền sort giảm (2)</t>
  </si>
  <si>
    <t>Nhấn vào header Tên sách (2) 2 lần</t>
  </si>
  <si>
    <t>Nhấn vào header Số lượng (2)</t>
  </si>
  <si>
    <t>Nhấn vào header Số lượng (2) 2 lần</t>
  </si>
  <si>
    <t>Nhấn vào header Đơn giá (2)</t>
  </si>
  <si>
    <t>Nhấn vào header Đơn giá (2) 2 lần</t>
  </si>
  <si>
    <t>Nhấn vào header Thành tiền (2)</t>
  </si>
  <si>
    <t>Nhấn vào header Thành tiền (2) 2 lần</t>
  </si>
  <si>
    <t>Bảng sort theo thứ tự Tên sách (2) tăng dần</t>
  </si>
  <si>
    <t>Bảng sort theo thứ tự Tên sách (2) giảm dần</t>
  </si>
  <si>
    <t>Bảng sort theo thứ tự Số lượng (2) tăng dần</t>
  </si>
  <si>
    <t>Bảng sort theo thứ tự Số lượng (2) giảm dần</t>
  </si>
  <si>
    <t>Bảng sort theo thứ tự Đơn giá (2) tăng dần</t>
  </si>
  <si>
    <t>Bảng sort theo thứ tự Đơn giá (2) giảm dần</t>
  </si>
  <si>
    <t>Bảng sort theo thứ tự Thành tiền (2) tăng dần</t>
  </si>
  <si>
    <t>Bảng sort theo thứ tự Thành tiền (2) giảm dần</t>
  </si>
  <si>
    <t>Thêm sách đã chọn vào bảng chi tiết nhập kho</t>
  </si>
  <si>
    <t>Không thêm được</t>
  </si>
  <si>
    <t>1. Nhấn vào Button Thêm sách xuất kho
2. Chọn sách đầu tiên
3. Nhập số lượng 1
4. Chọn Nhập lại</t>
  </si>
  <si>
    <t>1. Nhấn vào Button Thêm sách xuất kho
2. Chọn sách đầu tiên
3. Nhập số lượng 1
4. Chọn Đồng ý</t>
  </si>
  <si>
    <t>1. Nhấn vào Button Thêm sách xuất kho
2. Nhập số lượng 1
3. Chọn Đồng ý</t>
  </si>
  <si>
    <t>Xóa dữ liệu đã nhập</t>
  </si>
  <si>
    <t>1. Nhấn vào Button Thêm sách xuất kho
2. Chuột phải vào dòng đầu tiên
3. Chọn Xóa</t>
  </si>
  <si>
    <t>1. Nhập "Tên nhà cung cấp 1" tại Textbox Tên nhà cung cấp
2. Thêm sách đầu tiên với số lượng 1
3. Chọn Đồng ý</t>
  </si>
  <si>
    <t>Thêm xuất kho thành công</t>
  </si>
  <si>
    <t>1. Nhập "Tên nhà cung cấp 1" tại Textbox Tên nhà cung cấp
2. Thêm sách đầu tiên với số lượng 1
3. Chọn Hủy</t>
  </si>
  <si>
    <t>Không thêm xuất kho</t>
  </si>
  <si>
    <t>Kiểm tra chức năng Hủy thêm xuất kho (2)</t>
  </si>
  <si>
    <t>Kiểm tra chức năng Đồng ý thêm xuất kho (2)</t>
  </si>
  <si>
    <t>Kiểm tra chức năng Nhập lại của Thêm sách xuất kho (2)</t>
  </si>
  <si>
    <t>Kiểm tra chức năng Thêm sách xuất kho (2) với dữ liệu sai</t>
  </si>
  <si>
    <t>Kiểm tra chức năng Thêm sách xuất kho (2) với dữ liệu đúng</t>
  </si>
  <si>
    <t>Kiểm tra chức năng Xóa sách xuất kho (2)</t>
  </si>
  <si>
    <t>Kiểm tra Textbox Tên nhà cung cấp (3)</t>
  </si>
  <si>
    <t>Kiểm tra Header Tên sách (3)</t>
  </si>
  <si>
    <t>Kiểm tra Header Số lượng (3)</t>
  </si>
  <si>
    <t>Kiểm tra Header Đơn giá (3)</t>
  </si>
  <si>
    <t>Kiểm tra Header Thành tiền (3)</t>
  </si>
  <si>
    <t>Kiểm tra Textbox Ghi chú cung cấp (3)</t>
  </si>
  <si>
    <t>Kiểm tra Button Thêm sách xuất kho (3)</t>
  </si>
  <si>
    <t>Kiểm tra Header Tên sách sort tăng (3)</t>
  </si>
  <si>
    <t>Nhấn vào header Tên sách (3)</t>
  </si>
  <si>
    <t>Bảng sort theo thứ tự Tên sách (3) tăng dần</t>
  </si>
  <si>
    <t>Kiểm tra Header Tên sách sort giảm (3)</t>
  </si>
  <si>
    <t>Nhấn vào header Tên sách (3) 2 lần</t>
  </si>
  <si>
    <t>Bảng sort theo thứ tự Tên sách (3) giảm dần</t>
  </si>
  <si>
    <t>Kiểm tra Header Số lượng sort tăng (3)</t>
  </si>
  <si>
    <t>Nhấn vào header Số lượng (3)</t>
  </si>
  <si>
    <t>Bảng sort theo thứ tự Số lượng (3) tăng dần</t>
  </si>
  <si>
    <t>Kiểm tra Header Số lượng sort giảm (3)</t>
  </si>
  <si>
    <t>Nhấn vào header Số lượng (3) 2 lần</t>
  </si>
  <si>
    <t>Bảng sort theo thứ tự Số lượng (3) giảm dần</t>
  </si>
  <si>
    <t>Kiểm tra Header Đơn giá sort tăng (3)</t>
  </si>
  <si>
    <t>Nhấn vào header Đơn giá (3)</t>
  </si>
  <si>
    <t>Bảng sort theo thứ tự Đơn giá (3) tăng dần</t>
  </si>
  <si>
    <t>Kiểm tra Header Đơn giá sort giảm (3)</t>
  </si>
  <si>
    <t>Nhấn vào header Đơn giá (3) 2 lần</t>
  </si>
  <si>
    <t>Bảng sort theo thứ tự Đơn giá (3) giảm dần</t>
  </si>
  <si>
    <t>Kiểm tra Header Thành tiền sort tăng (3)</t>
  </si>
  <si>
    <t>Nhấn vào header Thành tiền (3)</t>
  </si>
  <si>
    <t>Bảng sort theo thứ tự Thành tiền (3) tăng dần</t>
  </si>
  <si>
    <t>Kiểm tra Header Thành tiền sort giảm (3)</t>
  </si>
  <si>
    <t>Nhấn vào header Thành tiền (3) 2 lần</t>
  </si>
  <si>
    <t>Bảng sort theo thứ tự Thành tiền (3) giảm dần</t>
  </si>
  <si>
    <t>Kiểm tra chức năng Thêm sách xuất kho (3) với dữ liệu sai</t>
  </si>
  <si>
    <t>Kiểm tra chức năng Nhập lại của Thêm sách xuất kho (3)</t>
  </si>
  <si>
    <t>Kiểm tra chức năng Xóa sách xuất kho (3)</t>
  </si>
  <si>
    <t>Kiểm tra chức năng Đồng ý thêm xuất kho (3)</t>
  </si>
  <si>
    <t>Kiểm tra màn hình Sửa (3)</t>
  </si>
  <si>
    <t>Kiểm tra tổng thể giao diện màn hình Sửa (3)</t>
  </si>
  <si>
    <t>Kiểm tra chức năng Sửa sách xuất kho (3) với dữ liệu đúng</t>
  </si>
  <si>
    <t>Sửa sách đã chọn vào bảng chi tiết nhập kho</t>
  </si>
  <si>
    <t>Sửa xuất kho thành công</t>
  </si>
  <si>
    <t>Không sửa xuất kho</t>
  </si>
  <si>
    <t>Kiểm tra chức năng Hủy sửa xuất kho (3)</t>
  </si>
  <si>
    <t>Thông tin xuất kho</t>
  </si>
  <si>
    <t>TTXK_001</t>
  </si>
  <si>
    <t>TTXK_002</t>
  </si>
  <si>
    <t>TTXK_003</t>
  </si>
  <si>
    <t>TTXK_004</t>
  </si>
  <si>
    <t>TTXK_005</t>
  </si>
  <si>
    <t>TTXK_006</t>
  </si>
  <si>
    <t>TTXK_007</t>
  </si>
  <si>
    <t>TTXK_008</t>
  </si>
  <si>
    <t>TTXK_009</t>
  </si>
  <si>
    <t>TTXK_010</t>
  </si>
  <si>
    <t>TTXK_011</t>
  </si>
  <si>
    <t>TTXK_012</t>
  </si>
  <si>
    <t>TTXK_013</t>
  </si>
  <si>
    <t>TTXK_014</t>
  </si>
  <si>
    <t>TTXK_015</t>
  </si>
  <si>
    <t>TTXK_016</t>
  </si>
  <si>
    <t>TTXK_017</t>
  </si>
  <si>
    <t>TTXK_018</t>
  </si>
  <si>
    <t>TTXK_019</t>
  </si>
  <si>
    <t>TTXK_020</t>
  </si>
  <si>
    <t>TTXK_021</t>
  </si>
  <si>
    <t>TTXK_022</t>
  </si>
  <si>
    <t>TTXK_023</t>
  </si>
  <si>
    <t>TTXK_024</t>
  </si>
  <si>
    <t>TTXK_025</t>
  </si>
  <si>
    <t>TTXK_026</t>
  </si>
  <si>
    <t>TTXK_027</t>
  </si>
  <si>
    <t>TTXK_028</t>
  </si>
  <si>
    <t>TTXK_029</t>
  </si>
  <si>
    <t>TTXK_030</t>
  </si>
  <si>
    <t>TTXK_031</t>
  </si>
  <si>
    <t>TTXK_032</t>
  </si>
  <si>
    <t>TTXK_033</t>
  </si>
  <si>
    <t>TTXK_034</t>
  </si>
  <si>
    <t>TTXK_035</t>
  </si>
  <si>
    <t>TTXK_036</t>
  </si>
  <si>
    <t>TTXK_037</t>
  </si>
  <si>
    <t>TTXK_038</t>
  </si>
  <si>
    <t>TTXK_039</t>
  </si>
  <si>
    <t>TTXK_040</t>
  </si>
  <si>
    <t>TTXK_041</t>
  </si>
  <si>
    <t>TTXK_042</t>
  </si>
  <si>
    <t>TTXK_043</t>
  </si>
  <si>
    <t>TTXK_044</t>
  </si>
  <si>
    <t>TTXK_045</t>
  </si>
  <si>
    <t>TTXK_046</t>
  </si>
  <si>
    <t>TTXK_047</t>
  </si>
  <si>
    <t>TTXK_048</t>
  </si>
  <si>
    <t>TTXK_049</t>
  </si>
  <si>
    <t>TTXK_050</t>
  </si>
  <si>
    <t>TTXK_051</t>
  </si>
  <si>
    <t>TTXK_052</t>
  </si>
  <si>
    <t>TTXK_053</t>
  </si>
  <si>
    <t>TTXK_054</t>
  </si>
  <si>
    <t>TTXK_055</t>
  </si>
  <si>
    <t>TTXK_056</t>
  </si>
  <si>
    <t>TTXK_057</t>
  </si>
  <si>
    <t>TTXK_058</t>
  </si>
  <si>
    <t>TTXK_059</t>
  </si>
  <si>
    <t>TTXK_060</t>
  </si>
  <si>
    <t>TTXK_061</t>
  </si>
  <si>
    <t>TTXK_062</t>
  </si>
  <si>
    <t>TTXK_063</t>
  </si>
  <si>
    <t>TTXK_064</t>
  </si>
  <si>
    <t>TTXK_065</t>
  </si>
  <si>
    <t>TTXK_066</t>
  </si>
  <si>
    <t>TTXK_067</t>
  </si>
  <si>
    <t>TTXK_068</t>
  </si>
  <si>
    <t>TTXK_069</t>
  </si>
  <si>
    <t>TTXK_070</t>
  </si>
  <si>
    <t>TTXK_071</t>
  </si>
  <si>
    <t>TTXK_072</t>
  </si>
  <si>
    <t>TTXK_073</t>
  </si>
  <si>
    <t>TTXK_074</t>
  </si>
  <si>
    <t>TTXK_075</t>
  </si>
  <si>
    <t>TTXK_076</t>
  </si>
  <si>
    <t>TTXK_077</t>
  </si>
  <si>
    <t>1. Kiểm tra các màn hình
2. Kiểm tra focus của chuột
3. Kiểm tra màu ô</t>
  </si>
  <si>
    <t>1. Gồm các màn hình:
  - Danh sách (1)
  - Thêm (2)
  - Sửa (3)
2. Focus chuột:
  - Normal khi không hover vào trường đặc biệt
  - hand khi ở trường click được
  - ibeam khi ở trường nhập liệu
3. Màu default, hover, select hợp lý</t>
  </si>
  <si>
    <t>1. Thanh Header gồm:
  - ID
  - Tên quản lý kho
  - Thời gian
  - Tổng tiền
  - Ghi chú
2. Focus chuột:
  - Normal khi không hover vào trường đặc biệt
  - hand khi ở trường click được
  - ibeam khi ở trường nhập liệu
3. Màu default, hover, select hợp lý</t>
  </si>
  <si>
    <t>Kiểm tra chức năng Thêm sách nhập kho (2) với dữ liệu đúng</t>
  </si>
  <si>
    <t>Kiểm tra Button Thêm sách nhập kho (2)</t>
  </si>
  <si>
    <t>1. Nhấn vào Button Thêm sách nhập kho
2. Chọn sách đầu tiên
3. Nhập số lượng 1
4. Chọn Đồng ý</t>
  </si>
  <si>
    <t>Kiểm tra chức năng Thêm sách nhập kho (2) với dữ liệu sai</t>
  </si>
  <si>
    <t>1. Nhấn vào Button Thêm sách nhập kho
2. Nhập số lượng 1
3. Chọn Đồng ý</t>
  </si>
  <si>
    <t>Kiểm tra chức năng Nhập lại của Thêm sách nhập kho (2)</t>
  </si>
  <si>
    <t>1. Nhấn vào Button Thêm sách nhập kho
2. Chọn sách đầu tiên
3. Nhập số lượng 1
4. Chọn Nhập lại</t>
  </si>
  <si>
    <t>Kiểm tra chức năng Xóa sách nhập kho (2)</t>
  </si>
  <si>
    <t>1. Nhấn vào Button Thêm sách nhập kho
2. Chuột phải vào dòng đầu tiên
3. Chọn Xóa</t>
  </si>
  <si>
    <t>Kiểm tra chức năng Đồng ý thêm nhập kho (2)</t>
  </si>
  <si>
    <t>Thêm nhập kho thành công</t>
  </si>
  <si>
    <t>Kiểm tra chức năng Hủy thêm nhập kho (2)</t>
  </si>
  <si>
    <t>Không thêm nhập kho</t>
  </si>
  <si>
    <t>Kiểm tra Button Thêm sách nhập kho (3)</t>
  </si>
  <si>
    <t>Kiểm tra chức năng Sửa sách nhập kho (3) với dữ liệu đúng</t>
  </si>
  <si>
    <t>Kiểm tra chức năng Thêm sách nhập kho (3) với dữ liệu sai</t>
  </si>
  <si>
    <t>Kiểm tra chức năng Nhập lại của Thêm sách nhập kho (3)</t>
  </si>
  <si>
    <t>Kiểm tra chức năng Xóa sách nhập kho (3)</t>
  </si>
  <si>
    <t>Kiểm tra chức năng Đồng ý thêm nhập kho (3)</t>
  </si>
  <si>
    <t>Sửa nhập kho thành công</t>
  </si>
  <si>
    <t>Kiểm tra chức năng Hủy sửa nhập kho (3)</t>
  </si>
  <si>
    <t>Không sửa nhập kho</t>
  </si>
  <si>
    <t>1. Thêm sách đầu tiên với số lượng 1
2. Chọn Đồng ý</t>
  </si>
  <si>
    <t>1. Thêm sách đầu tiên với số lượng 1
2. Chọn Hủy</t>
  </si>
  <si>
    <t>Khách hàng</t>
  </si>
  <si>
    <t>KH_001</t>
  </si>
  <si>
    <t>KH_002</t>
  </si>
  <si>
    <t>KH_003</t>
  </si>
  <si>
    <t>KH_004</t>
  </si>
  <si>
    <t>KH_005</t>
  </si>
  <si>
    <t>KH_006</t>
  </si>
  <si>
    <t>KH_007</t>
  </si>
  <si>
    <t>KH_008</t>
  </si>
  <si>
    <t>KH_009</t>
  </si>
  <si>
    <t>KH_010</t>
  </si>
  <si>
    <t>KH_011</t>
  </si>
  <si>
    <t>KH_012</t>
  </si>
  <si>
    <t>KH_013</t>
  </si>
  <si>
    <t>KH_014</t>
  </si>
  <si>
    <t>KH_015</t>
  </si>
  <si>
    <t>KH_016</t>
  </si>
  <si>
    <t>KH_017</t>
  </si>
  <si>
    <t>KH_018</t>
  </si>
  <si>
    <t>KH_019</t>
  </si>
  <si>
    <t>KH_020</t>
  </si>
  <si>
    <t>KH_021</t>
  </si>
  <si>
    <t>KH_022</t>
  </si>
  <si>
    <t>KH_023</t>
  </si>
  <si>
    <t>KH_024</t>
  </si>
  <si>
    <t>KH_025</t>
  </si>
  <si>
    <t>KH_026</t>
  </si>
  <si>
    <t>KH_027</t>
  </si>
  <si>
    <t>KH_028</t>
  </si>
  <si>
    <t>KH_029</t>
  </si>
  <si>
    <t>KH_030</t>
  </si>
  <si>
    <t>KH_031</t>
  </si>
  <si>
    <t>KH_032</t>
  </si>
  <si>
    <t>KH_033</t>
  </si>
  <si>
    <t>KH_034</t>
  </si>
  <si>
    <t>KH_035</t>
  </si>
  <si>
    <t>KH_036</t>
  </si>
  <si>
    <t>KH_037</t>
  </si>
  <si>
    <t>KH_038</t>
  </si>
  <si>
    <t>KH_039</t>
  </si>
  <si>
    <t>KH_040</t>
  </si>
  <si>
    <t>KH_041</t>
  </si>
  <si>
    <t>KH_042</t>
  </si>
  <si>
    <t>KH_043</t>
  </si>
  <si>
    <t>KH_044</t>
  </si>
  <si>
    <t>KH_045</t>
  </si>
  <si>
    <t>1. Thanh Header gồm:
  - ID
  - Họ và tên
  - Giới tính
  - Liên lạc
  - Tổng tiền chi
2. Focus chuột:
  - Normal khi không hover vào trường đặc biệt
  - hand khi ở trường click được
  - ibeam khi ở trường nhập liệu
3. Màu default, hover, select hợp lý</t>
  </si>
  <si>
    <t>Kiểm tra Header Họ và tên (1)</t>
  </si>
  <si>
    <t>Kiểm tra Header Giới tính (1)</t>
  </si>
  <si>
    <t>Kiểm tra Header Liên lạc (1)</t>
  </si>
  <si>
    <t>Kiểm tra Header Tổng tiền chi (1)</t>
  </si>
  <si>
    <t>Kiểm tra Header Họ và tên sort tăng (1)</t>
  </si>
  <si>
    <t>Kiểm tra Header Họ và tên sort giảm (1)</t>
  </si>
  <si>
    <t>Nhấn vào header Họ và tên (1)</t>
  </si>
  <si>
    <t>Nhấn vào header Họ và tên (1) 2 lần</t>
  </si>
  <si>
    <t>Bảng sort theo thứ tự Họ và tên (1) tăng dần</t>
  </si>
  <si>
    <t>Bảng sort theo thứ tự Họ và tên (1) giảm dần</t>
  </si>
  <si>
    <t>Kiểm tra Header Giới tính sort tăng (1)</t>
  </si>
  <si>
    <t>Nhấn vào header Giới tính (1)</t>
  </si>
  <si>
    <t>Bảng sort theo thứ tự Giới tính (1) tăng dần</t>
  </si>
  <si>
    <t>Bảng sort theo thứ tự Giới tính (1) giảm dần</t>
  </si>
  <si>
    <t>Nhấn vào header Giới tính (1) 2 lần</t>
  </si>
  <si>
    <t>Kiểm tra Header Giới tính sort giảm (1)</t>
  </si>
  <si>
    <t>Kiểm tra Header Liên lạc sort tăng (1)</t>
  </si>
  <si>
    <t>Nhấn vào header Liên lạc (1)</t>
  </si>
  <si>
    <t>Kiểm tra Header Liên lạc sort giảm (1)</t>
  </si>
  <si>
    <t>Nhấn vào header Liên lạc (1) 2 lần</t>
  </si>
  <si>
    <t>Bảng sort theo thứ tự Liên lạc (1) tăng dần</t>
  </si>
  <si>
    <t>Bảng sort theo thứ tự Liên lạc (1) giảm dần</t>
  </si>
  <si>
    <t>Kiểm tra Header Tổng tiền chi sort tăng (1)</t>
  </si>
  <si>
    <t>Kiểm tra Header Tổng tiền chi sort giảm (1)</t>
  </si>
  <si>
    <t>Nhấn vào header Tổng tiền chi (1)</t>
  </si>
  <si>
    <t>Nhấn vào header Tổng tiền chi (1) 2 lần</t>
  </si>
  <si>
    <t>Bảng sort theo thứ tự Tổng tiền chi (1) tăng dần</t>
  </si>
  <si>
    <t>Bảng sort theo thứ tự Tổng tiền chi (1) giảm dần</t>
  </si>
  <si>
    <t>Kiểm tra Popup Thêm (2)</t>
  </si>
  <si>
    <t>1. Các trường gồm:
  - Tên khách hàng
  - Giới tính
  - Số điện thoại
  - Địa chỉ
2. Focus chuột:
  - Normal khi không hover vào trường đặc biệt
  - hand khi ở trường click được
  - ibeam khi ở trường nhập liệu</t>
  </si>
  <si>
    <t>Kiểm tra tổng thể giao diện Popup Thêm (2)</t>
  </si>
  <si>
    <t>Kiểm tra Textbox Tên khách hàng (2)</t>
  </si>
  <si>
    <t>Kiểm tra Textbox Giới tính (2)</t>
  </si>
  <si>
    <t>Kiểm tra Textbox Số điện thoại (2)</t>
  </si>
  <si>
    <t>Kiểm tra Textbox Địa chỉ (2)</t>
  </si>
  <si>
    <t>1. Nhập tên khách hàng "Khách Hàng A"
2. Giới tích chọn Nam
3. Số điện thoại nhập "0987654321"
4. Địa chỉ nhập "Hồ Chí Minh"
5. Nhấn Button thêm</t>
  </si>
  <si>
    <t>Thêm thành công</t>
  </si>
  <si>
    <t>Thêm khách hàng (2) với dữ liệu đầy đủ</t>
  </si>
  <si>
    <t>Thêm khách hàng (2) không đủ dữ liệu</t>
  </si>
  <si>
    <t>1. Mở popup Thêm
5. Nhấn Button thêm</t>
  </si>
  <si>
    <t>Nhập lại dữ liệu Thêm khách hàng (2)</t>
  </si>
  <si>
    <t>1. Nhập tên khách hàng "Khách Hàng A"
2. Giới tích chọn Nam
3. Số điện thoại nhập "0987654321"
4. Địa chỉ nhập "Hồ Chí Minh"
5. Nhấn Button Nhập lại</t>
  </si>
  <si>
    <t>Xóa mọi dữ liệu đã nhập</t>
  </si>
  <si>
    <t>Kiểm tra Textbox Tên khách hàng (3)</t>
  </si>
  <si>
    <t>Kiểm tra Textbox Giới tính (3)</t>
  </si>
  <si>
    <t>Kiểm tra Textbox Số điện thoại (3)</t>
  </si>
  <si>
    <t>Kiểm tra Textbox Địa chỉ (3)</t>
  </si>
  <si>
    <t>Kiểm tra tổng thể giao diện  màn hình Sửa (3)</t>
  </si>
  <si>
    <t>Sửa khách hàng (3) với dữ liệu đầy đủ</t>
  </si>
  <si>
    <t>Sửa khách hàng (3) không đủ dữ liệu</t>
  </si>
  <si>
    <t>Hủy sửa khách hàng (3)</t>
  </si>
  <si>
    <t>Hủy thay đổi sửa</t>
  </si>
  <si>
    <t>Sửa thành công</t>
  </si>
  <si>
    <t>Thông tin tài khoản</t>
  </si>
  <si>
    <t>TTTK_001</t>
  </si>
  <si>
    <t>TTTK_002</t>
  </si>
  <si>
    <t>TTTK_003</t>
  </si>
  <si>
    <t>TTTK_004</t>
  </si>
  <si>
    <t>TTTK_005</t>
  </si>
  <si>
    <t>TTTK_006</t>
  </si>
  <si>
    <t>TTTK_007</t>
  </si>
  <si>
    <t>TTTK_008</t>
  </si>
  <si>
    <t>TTTK_009</t>
  </si>
  <si>
    <t>TTTK_010</t>
  </si>
  <si>
    <t>TTTK_011</t>
  </si>
  <si>
    <t>TTTK_012</t>
  </si>
  <si>
    <t>TTTK_013</t>
  </si>
  <si>
    <t>TTTK_014</t>
  </si>
  <si>
    <t>TTTK_015</t>
  </si>
  <si>
    <t>TTTK_016</t>
  </si>
  <si>
    <t>TTTK_017</t>
  </si>
  <si>
    <t>TTTK_018</t>
  </si>
  <si>
    <t>TTTK_019</t>
  </si>
  <si>
    <t>1. Kiểm tra các trường
2. Kiểm tra focus của chuột</t>
  </si>
  <si>
    <t>1. Gồm các trường:
  - Image Avatar
  - Tên tài khoản
  - Loại tài khoản
  - Tên đăng nhập
  - Mật khẩu (ở dạng ẩn)
  - Lần đăng nhập gần nhất
  - Cập nhật thông tin
2. Focus chuột:
  - Normal khi không hover vào trường đặc biệt
  - hand khi ở trường click được
  - ibeam khi ở trường nhập liệu
3. Màu default, hover, select hợp lý</t>
  </si>
  <si>
    <t>1. Kiểm tra về bố cục
2. Kiểm tra về font chữ, chính tả, màu chữ
3. Kiểm tra trường nhập bắt buộc
4. Kiểm tra về chính tả ngữ pháp</t>
  </si>
  <si>
    <t>1. Form được bố trí hợp lý và dễ sử dụng, các control có độ dài, rộng và khoảng cách thống nhất, không xô lệch
2. Các control sử dụng cùng 1 loại font, cỡ chữ, căn lề
3. Các trường hợp bắt buộc nhập có cảnh báo
4. Không có lỗi về chính tả, cấu trúc câu, ngữ pháp trên màn hình</t>
  </si>
  <si>
    <t>Kiểm tra Image Avatar</t>
  </si>
  <si>
    <t>Canh lề, vị trí hợp lý, hiển thị chính xác</t>
  </si>
  <si>
    <t>Kiểm tra Label Tên tài khoản</t>
  </si>
  <si>
    <t>Kiểm tra Label Loại tài khoản</t>
  </si>
  <si>
    <t>Kiểm tra Label Usename</t>
  </si>
  <si>
    <t>Kiểm tra Label Password</t>
  </si>
  <si>
    <t>Kiểm tra Label Lần đăng nhập gần nhất</t>
  </si>
  <si>
    <t>Kiểm tra Button Cập nhật Avatar</t>
  </si>
  <si>
    <t>Kiểm tra Button Cập nhật Thông tin</t>
  </si>
  <si>
    <t>1. Nhấn vào Button Cập nhật Avatar
2. Chọn một hình trong máy</t>
  </si>
  <si>
    <t>Image Avatar cập nhật theo đúng hình đã chọn</t>
  </si>
  <si>
    <t>Nhấn vào Button Cập nhật Thông tin</t>
  </si>
  <si>
    <t>Hiển thị màn hình cập nhật tài khoản</t>
  </si>
  <si>
    <t>1. Nhấn vào Button Cập nhật Thông tin
2. Nhập "Nguyễn Văn B" vào trường Tên người dùng
3. Chọn giới tính Nam
4. Nhập số điện thoại "0123456789"
5. Nhập địa chỉ "Hồ Chí Minh"
6. Nhấn cập nhật</t>
  </si>
  <si>
    <t>Cập nhật thành công</t>
  </si>
  <si>
    <t>1. Nhấn vào Button Cập nhật Thông tin
2. Chọn giới tính Nam
3. Nhập số điện thoại "0123456789"
4. Nhập địa chỉ "Hồ Chí Minh"
5. Nhấn cập nhật</t>
  </si>
  <si>
    <t>1. Nhấn vào Button Cập nhật Thông tin
2. Nhập "Nguyễn Văn B" vào trường Tên người dùng
3. Chọn giới tính Nam
4. Nhập số điện thoại "0123456789"
5. Nhấn cập nhật</t>
  </si>
  <si>
    <t>1. Nhấn vào Button Cập nhật Thông tin
2. Nhập "Nguyễn Văn B" vào trường Tên người dùng
3. Chọn giới tính Nam
4. Nhập địa chỉ "Hồ Chí Minh"
5. Nhấn cập nhật</t>
  </si>
  <si>
    <t>Bắt buộc phải Nhập tên người dùng</t>
  </si>
  <si>
    <t>Bắt buộc phải Nhập số điện thoại</t>
  </si>
  <si>
    <t>Bắt buộc phải Nhập địa chỉ</t>
  </si>
  <si>
    <t>Kiểm tra Hủy Cập nhật Thông tin tài khoản</t>
  </si>
  <si>
    <t>Kiểm tra Cập nhật Thông tin tài khoản với thông tin không đầy đủ</t>
  </si>
  <si>
    <t>Kiểm tra Cập nhật Thông tin tài khoản với thông tin đúng</t>
  </si>
  <si>
    <t>Kiểm tra Button Cập nhật Thông tin tài khoản</t>
  </si>
  <si>
    <t>1. Nhấn vào Button Cập nhật Thông tin
2. Nhập "Nguyễn Văn B" vào trường Tên người dùng
3. Chọn giới tính Nam
4. Nhập số điện thoại "0123456789"
5. Nhập địa chỉ "Hồ Chí Minh"
6. Nhấn Hủy</t>
  </si>
  <si>
    <t>Hủy cập nhật Thông tin tài khoản</t>
  </si>
  <si>
    <t>Quản lý tài khoản</t>
  </si>
  <si>
    <t>QLTK_001</t>
  </si>
  <si>
    <t>QLTK_002</t>
  </si>
  <si>
    <t>QLTK_003</t>
  </si>
  <si>
    <t>QLTK_004</t>
  </si>
  <si>
    <t>QLTK_005</t>
  </si>
  <si>
    <t>QLTK_006</t>
  </si>
  <si>
    <t>QLTK_007</t>
  </si>
  <si>
    <t>QLTK_008</t>
  </si>
  <si>
    <t>QLTK_009</t>
  </si>
  <si>
    <t>QLTK_010</t>
  </si>
  <si>
    <t>QLTK_011</t>
  </si>
  <si>
    <t>QLTK_012</t>
  </si>
  <si>
    <t>QLTK_013</t>
  </si>
  <si>
    <t>QLTK_014</t>
  </si>
  <si>
    <t>QLTK_015</t>
  </si>
  <si>
    <t>QLTK_016</t>
  </si>
  <si>
    <t>QLTK_017</t>
  </si>
  <si>
    <t>QLTK_018</t>
  </si>
  <si>
    <t>QLTK_019</t>
  </si>
  <si>
    <t>QLTK_020</t>
  </si>
  <si>
    <t>QLTK_021</t>
  </si>
  <si>
    <t>QLTK_022</t>
  </si>
  <si>
    <t>QLTK_023</t>
  </si>
  <si>
    <t>QLTK_024</t>
  </si>
  <si>
    <t>QLTK_025</t>
  </si>
  <si>
    <t>QLTK_026</t>
  </si>
  <si>
    <t>QLTK_027</t>
  </si>
  <si>
    <t>QLTK_028</t>
  </si>
  <si>
    <t>QLTK_029</t>
  </si>
  <si>
    <t>QLTK_030</t>
  </si>
  <si>
    <t>QLTK_031</t>
  </si>
  <si>
    <t>QLTK_032</t>
  </si>
  <si>
    <t>QLTK_033</t>
  </si>
  <si>
    <t>QLTK_034</t>
  </si>
  <si>
    <t>QLTK_035</t>
  </si>
  <si>
    <t>QLTK_036</t>
  </si>
  <si>
    <t>QLTK_037</t>
  </si>
  <si>
    <t>QLTK_038</t>
  </si>
  <si>
    <t>QLTK_039</t>
  </si>
  <si>
    <t>QLTK_040</t>
  </si>
  <si>
    <t>QLTK_041</t>
  </si>
  <si>
    <t>QLTK_042</t>
  </si>
  <si>
    <t>QLTK_043</t>
  </si>
  <si>
    <t>QLTK_044</t>
  </si>
  <si>
    <t>QLTK_045</t>
  </si>
  <si>
    <t>1. Thanh Header gồm:
  - ID
  - User
  - Password
  - Loại tài khoản
  - Tên người dùng
  - Giới tính
  - Số điện thoại
  - Địa chỉ
2. Focus chuột:
  - Normal khi không hover vào trường đặc biệt
  - hand khi ở trường click được
  - ibeam khi ở trường nhập liệu
3. Màu default, hover, select hợp lý</t>
  </si>
  <si>
    <t>Kiểm tra Header User (1)</t>
  </si>
  <si>
    <t>Kiểm tra Header Password (1)</t>
  </si>
  <si>
    <t>Kiểm tra Header Loại tài khoản (1)</t>
  </si>
  <si>
    <t>Kiểm tra Header Tên người dùng (1)</t>
  </si>
  <si>
    <t>Kiểm tra Header Số điện thoại (1)</t>
  </si>
  <si>
    <t>Kiểm tra Header Địa chỉ (1)</t>
  </si>
  <si>
    <t>Kiểm tra Header User sort tăng (1)</t>
  </si>
  <si>
    <t>Kiểm tra Header User sort giảm (1)</t>
  </si>
  <si>
    <t>Nhấn vào header User (1)</t>
  </si>
  <si>
    <t>Nhấn vào header User (1) 2 lần</t>
  </si>
  <si>
    <t>Kiểm tra Header Password sort tăng (1)</t>
  </si>
  <si>
    <t>Nhấn vào header Password (1)</t>
  </si>
  <si>
    <t>Bảng sort theo thứ tự Password (1) tăng dần</t>
  </si>
  <si>
    <t>Kiểm tra Header Password sort giảm (1)</t>
  </si>
  <si>
    <t>Nhấn vào header Password (1) 2 lần</t>
  </si>
  <si>
    <t>Bảng sort theo thứ tự Password (1) giảm dần</t>
  </si>
  <si>
    <t>Kiểm tra Header Loại tài khoản sort tăng (1)</t>
  </si>
  <si>
    <t>Kiểm tra Header Loại tài khoản sort giảm (1)</t>
  </si>
  <si>
    <t>Nhấn vào header Loại tài khoản (1)</t>
  </si>
  <si>
    <t>Nhấn vào header Loại tài khoản (1) 2 lần</t>
  </si>
  <si>
    <t>Bảng sort theo thứ tự Loại tài khoản (1) tăng dần</t>
  </si>
  <si>
    <t>Bảng sort theo thứ tự Loại tài khoản (1) giảm dần</t>
  </si>
  <si>
    <t>Kiểm tra Header Tên người dùng sort tăng (1)</t>
  </si>
  <si>
    <t>Nhấn vào header Tên người dùng (1)</t>
  </si>
  <si>
    <t>Bảng sort theo thứ tự Tên người dùng (1) tăng dần</t>
  </si>
  <si>
    <t>Bảng sort theo thứ tự Tên người dùng (1) giảm dần</t>
  </si>
  <si>
    <t>Nhấn vào header Tên người dùng (1) 2 lần</t>
  </si>
  <si>
    <t>Kiểm tra Header Tên người dùng sort giảm (1)</t>
  </si>
  <si>
    <t>Kiểm tra Header Số điện thoại sort tăng (1)</t>
  </si>
  <si>
    <t>Kiểm tra Header Số điện thoại sort giảm (1)</t>
  </si>
  <si>
    <t>Nhấn vào header Số điện thoại (1)</t>
  </si>
  <si>
    <t>Nhấn vào header Số điện thoại (1) 2 lần</t>
  </si>
  <si>
    <t>Bảng sort theo thứ tự Số điện thoại (1) tăng dần</t>
  </si>
  <si>
    <t>Bảng sort theo thứ tự Số điện thoại (1) giảm dần</t>
  </si>
  <si>
    <t>Kiểm tra Header Địa chỉ sort tăng (1)</t>
  </si>
  <si>
    <t>Kiểm tra Header Địa chỉ sort giảm (1)</t>
  </si>
  <si>
    <t>Nhấn vào header Địa chỉ (1)</t>
  </si>
  <si>
    <t>Nhấn vào header Địa chỉ (1) 2 lần</t>
  </si>
  <si>
    <t>Bảng sort theo thứ tự Địa chỉ (1) tăng dần</t>
  </si>
  <si>
    <t>Bảng sort theo thứ tự Địa chỉ (1) giảm dần</t>
  </si>
  <si>
    <t>1. Các trường gồm:
  - Tài khoản
  - Mật khẩu
  - Nhập lại mật khẩu
  - Loại tài khoản
2. Focus chuột:
  - Normal khi không hover vào trường đặc biệt
  - hand khi ở trường click được
  - ibeam khi ở trường nhập liệu</t>
  </si>
  <si>
    <t>Kiểm tra Textbox Tài khoản (2)</t>
  </si>
  <si>
    <t>Kiểm tra PasswordBox Mật khẩu (2)</t>
  </si>
  <si>
    <t>Kiểm tra PasswordBox Nhập lại mật khẩu (2)</t>
  </si>
  <si>
    <t>Kiểm tra ComboBox Loại tài khoản (2)</t>
  </si>
  <si>
    <t>Kiểm tra Thêm tài khoản (2) với dữ liệu đúng</t>
  </si>
  <si>
    <t>Kiểm tra Thêm tài khoản (2) với dữ liệu sai</t>
  </si>
  <si>
    <t>Bắt buộc Tài khoản không được để trống</t>
  </si>
  <si>
    <t>1. Nhấn vào Button Thêm
2. Nhập "username" vào Textbox Tài khoản
3. Nhập "password" vào PasswordBox Mật khẩu
4. Nhập "password" vào PasswordBox Nhập lại mật khẩu
5. Chọn "Nhân viên" ở  ComboBox Loại tài khoản
6. Nhấn vào Button Thêm</t>
  </si>
  <si>
    <t>1. Nhấn vào Button Thêm
2. Nhập "password" vào PasswordBox Mật khẩu
3. Nhập "password" vào PasswordBox Nhập lại mật khẩu
4. Chọn "Nhân viên" ở  ComboBox Loại tài khoản
5. Nhấn vào Button Thêm</t>
  </si>
  <si>
    <t>1. Nhấn vào Button Thêm
2. Nhập "username" vào Textbox Tài khoản
3. Nhập "password" vào PasswordBox Nhập lại mật khẩu
4. Chọn "Nhân viên" ở  ComboBox Loại tài khoản
5. Nhấn vào Button Thêm</t>
  </si>
  <si>
    <t>Báo xác nhận mật khẩu không chính xác</t>
  </si>
  <si>
    <t>1. Các trường gồm:
  - Đặt lại mật khẩu
  - Loại tài khoản
2. Focus chuột:
  - Normal khi không hover vào trường đặc biệt
  - hand khi ở trường click được
  - ibeam khi ở trường nhập liệu</t>
  </si>
  <si>
    <t>QLTK_046</t>
  </si>
  <si>
    <t>QLTK_047</t>
  </si>
  <si>
    <t>Kiểm tra PasswordBox Đặt lại mật khẩu (3)</t>
  </si>
  <si>
    <t>QLTK_048</t>
  </si>
  <si>
    <t>Kiểm tra ComboBox Loại tài khoản (3)</t>
  </si>
  <si>
    <t>QLTK_049</t>
  </si>
  <si>
    <t>Kiểm tra Nhập lại ở Thêm tài khoản (2)</t>
  </si>
  <si>
    <t>1. Nhấn vào Button Thêm
2. Nhập "username" vào Textbox Tài khoản
3. Nhập "password" vào PasswordBox Mật khẩu
4. Nhập "password1" vào PasswordBox Nhập lại mật khẩu
5. Chọn "Nhân viên" ở  ComboBox Loại tài khoản
6. Nhấn vào Button Nhập lại</t>
  </si>
  <si>
    <t>Đưa tất cả các trường về trạng thái mặc định</t>
  </si>
  <si>
    <t>QLTK_050</t>
  </si>
  <si>
    <t>QLTK_051</t>
  </si>
  <si>
    <t>Kiểm tra cập nhật lại mật khẩu</t>
  </si>
  <si>
    <t>1. Chọn dòng đầu tiên trong bảng
2. Nhập "password" ở PasswordBox Đặt lại mật khẩu
3. Chọn "Nhân viên" ở Loại tài khoản
4. Nhấn Button Cập nhật</t>
  </si>
  <si>
    <t>QLTK_052</t>
  </si>
  <si>
    <t>Kiểm tra hủy thao tác cập nhật lại mật khẩu</t>
  </si>
  <si>
    <t>1. Chọn dòng đầu tiên trong bảng
2. Nhập "password" ở PasswordBox Đặt lại mật khẩu
3. Chọn "Nhân viên" ở Loại tài khoản
4. Nhấn Button Hủy</t>
  </si>
  <si>
    <t>Không cập nhật</t>
  </si>
  <si>
    <t>Nhấn vào Button Thêm</t>
  </si>
  <si>
    <t>Hiện Popup thêm</t>
  </si>
  <si>
    <t>Nhấn vào Button Sửa</t>
  </si>
  <si>
    <t>Hiện form sửa</t>
  </si>
  <si>
    <t>1. Chọn dòng đầu tiên trong bảng
2. Nhấn vào Button xóa</t>
  </si>
  <si>
    <t>Xóa tài khoản đó</t>
  </si>
  <si>
    <t>QLTK_053</t>
  </si>
  <si>
    <t>QLTK_054</t>
  </si>
  <si>
    <t>QLTK_055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</si>
</sst>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rial"/>
      <family val="2"/>
      <scheme val="minor"/>
    </font>
    <font>
      <sz val="12"/>
      <color theme="1"/>
      <name val="Times New Roman"/>
      <family val="1"/>
      <scheme val="major"/>
    </font>
    <font>
      <sz val="8"/>
      <name val="Arial"/>
      <family val="2"/>
      <scheme val="minor"/>
    </font>
    <font>
      <u/>
      <sz val="11"/>
      <color theme="10"/>
      <name val="Arial"/>
      <family val="2"/>
      <scheme val="minor"/>
    </font>
  </fonts>
  <fills count="3">
    <fill>
      <patternFill patternType="none"/>
    </fill>
    <fill>
      <patternFill patternType="gray125"/>
    </fill>
    <fill>
      <patternFill patternType="solid">
        <fgColor theme="8"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1">
    <xf numFmtId="0" fontId="0" fillId="0" borderId="0" xfId="0"/>
    <xf numFmtId="0" fontId="1" fillId="0" borderId="0" xfId="0" applyFont="1"/>
    <xf numFmtId="0" fontId="1" fillId="0" borderId="0" xfId="0" applyFont="1" applyAlignment="1">
      <alignment horizontal="left" vertical="center"/>
    </xf>
    <xf numFmtId="0" fontId="1" fillId="2" borderId="1" xfId="0" applyFont="1" applyFill="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vertical="top" wrapText="1"/>
    </xf>
    <xf numFmtId="0" fontId="1" fillId="0" borderId="1" xfId="0" applyFont="1" applyBorder="1" applyAlignment="1">
      <alignment vertical="top"/>
    </xf>
    <xf numFmtId="0" fontId="1" fillId="0" borderId="1" xfId="0" applyFont="1" applyBorder="1" applyAlignment="1">
      <alignment horizontal="left" vertical="center" wrapText="1"/>
    </xf>
    <xf numFmtId="0" fontId="1" fillId="0" borderId="1" xfId="0" applyFont="1" applyBorder="1" applyAlignment="1">
      <alignment horizontal="left" vertical="top" wrapText="1"/>
    </xf>
    <xf numFmtId="0" fontId="3" fillId="0" borderId="0" xfId="1"/>
    <xf numFmtId="0" fontId="1" fillId="0" borderId="0" xfId="0" applyFont="1" applyAlignment="1">
      <alignment horizontal="center" vertical="center"/>
    </xf>
  </cellXfs>
  <cellStyles count="2">
    <cellStyle name="Hyperlink" xfId="1" builtinId="8"/>
    <cellStyle name="Normal" xfId="0" builtinId="0"/>
  </cellStyles>
  <dxfs count="87">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
      <fill>
        <patternFill>
          <bgColor rgb="FFFFFF37"/>
        </patternFill>
      </fill>
    </dxf>
    <dxf>
      <fill>
        <patternFill>
          <bgColor rgb="FF00FF00"/>
        </patternFill>
      </fill>
    </dxf>
    <dxf>
      <fill>
        <patternFill>
          <bgColor rgb="FFFF2D2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BC4C7-AB69-4CA7-AD29-0F38F7AED405}">
  <dimension ref="A1:T105"/>
  <sheetViews>
    <sheetView tabSelected="1" zoomScaleNormal="100" workbookViewId="0">
      <selection activeCell="B8" sqref="B8"/>
    </sheetView>
  </sheetViews>
  <sheetFormatPr defaultRowHeight="13.8" x14ac:dyDescent="0.25"/>
  <cols>
    <col min="1" max="1" width="39.296875" bestFit="1" customWidth="1"/>
    <col min="2" max="2" width="14.8984375" bestFit="1" customWidth="1"/>
  </cols>
  <sheetData>
    <row r="1" spans="1:3" ht="15.6" x14ac:dyDescent="0.25">
      <c r="A1" s="10" t="s">
        <v>0</v>
      </c>
      <c r="B1" s="10"/>
    </row>
    <row r="2" spans="1:3" ht="15.6" x14ac:dyDescent="0.25">
      <c r="A2" s="2" t="s">
        <v>1</v>
      </c>
      <c r="B2" s="2" t="s">
        <v>150</v>
      </c>
    </row>
    <row r="3" spans="1:3" ht="15.6" x14ac:dyDescent="0.25">
      <c r="A3" s="2" t="s">
        <v>151</v>
      </c>
      <c r="B3" s="2">
        <f ca="1">SUMIF(101:101,"&gt;0")</f>
        <v>447</v>
      </c>
    </row>
    <row r="4" spans="1:3" ht="15.6" x14ac:dyDescent="0.25">
      <c r="A4" s="2" t="s">
        <v>152</v>
      </c>
      <c r="B4" s="2">
        <f t="shared" ref="B4:B7" ca="1" si="0">SUMIF(102:102,"&gt;0")</f>
        <v>0</v>
      </c>
      <c r="C4" s="9"/>
    </row>
    <row r="5" spans="1:3" ht="15.6" x14ac:dyDescent="0.25">
      <c r="A5" s="2" t="s">
        <v>153</v>
      </c>
      <c r="B5" s="2">
        <f t="shared" ca="1" si="0"/>
        <v>0</v>
      </c>
    </row>
    <row r="6" spans="1:3" ht="15.6" x14ac:dyDescent="0.25">
      <c r="A6" s="2" t="s">
        <v>154</v>
      </c>
      <c r="B6" s="2">
        <f t="shared" ca="1" si="0"/>
        <v>0</v>
      </c>
    </row>
    <row r="7" spans="1:3" ht="15.6" x14ac:dyDescent="0.25">
      <c r="A7" s="2" t="s">
        <v>7</v>
      </c>
      <c r="B7" s="2">
        <f t="shared" ca="1" si="0"/>
        <v>447</v>
      </c>
    </row>
    <row r="100" spans="1:20" x14ac:dyDescent="0.25">
      <c r="A100" t="s">
        <v>155</v>
      </c>
      <c r="B100">
        <v>2</v>
      </c>
      <c r="C100">
        <v>3</v>
      </c>
      <c r="D100">
        <v>4</v>
      </c>
      <c r="E100">
        <v>5</v>
      </c>
      <c r="F100">
        <v>6</v>
      </c>
      <c r="G100">
        <v>7</v>
      </c>
      <c r="H100">
        <v>8</v>
      </c>
      <c r="I100">
        <v>9</v>
      </c>
      <c r="J100">
        <v>10</v>
      </c>
      <c r="K100">
        <v>11</v>
      </c>
      <c r="L100">
        <v>12</v>
      </c>
      <c r="M100">
        <v>13</v>
      </c>
      <c r="N100">
        <v>14</v>
      </c>
      <c r="O100">
        <v>15</v>
      </c>
      <c r="P100">
        <v>16</v>
      </c>
      <c r="Q100">
        <v>17</v>
      </c>
      <c r="R100">
        <v>18</v>
      </c>
      <c r="S100">
        <v>19</v>
      </c>
      <c r="T100">
        <v>20</v>
      </c>
    </row>
    <row r="101" spans="1:20" x14ac:dyDescent="0.25">
      <c r="A101" t="s">
        <v>18</v>
      </c>
      <c r="B101">
        <f t="shared" ref="B101:O101" ca="1" si="1">INDIRECT("'"&amp;INDEX(Sheet,B$100)&amp;"'!D4")</f>
        <v>15</v>
      </c>
      <c r="C101">
        <f t="shared" ca="1" si="1"/>
        <v>16</v>
      </c>
      <c r="D101">
        <f t="shared" ca="1" si="1"/>
        <v>17</v>
      </c>
      <c r="E101">
        <f t="shared" ca="1" si="1"/>
        <v>37</v>
      </c>
      <c r="F101">
        <f t="shared" ca="1" si="1"/>
        <v>87</v>
      </c>
      <c r="G101">
        <f t="shared" ca="1" si="1"/>
        <v>79</v>
      </c>
      <c r="H101">
        <f t="shared" ca="1" si="1"/>
        <v>77</v>
      </c>
      <c r="I101">
        <f t="shared" ca="1" si="1"/>
        <v>45</v>
      </c>
      <c r="J101">
        <f t="shared" ca="1" si="1"/>
        <v>19</v>
      </c>
      <c r="K101">
        <f t="shared" ca="1" si="1"/>
        <v>55</v>
      </c>
      <c r="L101" t="e">
        <f t="shared" ca="1" si="1"/>
        <v>#REF!</v>
      </c>
      <c r="M101" t="e">
        <f t="shared" ca="1" si="1"/>
        <v>#REF!</v>
      </c>
      <c r="N101" t="e">
        <f t="shared" ca="1" si="1"/>
        <v>#REF!</v>
      </c>
      <c r="O101" t="e">
        <f t="shared" ca="1" si="1"/>
        <v>#REF!</v>
      </c>
      <c r="P101" t="e">
        <f t="shared" ref="P101:S101" ca="1" si="2">INDIRECT("'"&amp;INDEX(Sheet,P$100)&amp;"'!D4")</f>
        <v>#REF!</v>
      </c>
      <c r="Q101" t="e">
        <f t="shared" ca="1" si="2"/>
        <v>#REF!</v>
      </c>
      <c r="R101" t="e">
        <f t="shared" ca="1" si="2"/>
        <v>#REF!</v>
      </c>
      <c r="S101" t="e">
        <f t="shared" ca="1" si="2"/>
        <v>#REF!</v>
      </c>
      <c r="T101" t="e">
        <f ca="1">INDIRECT("'"&amp;INDEX(Sheet,T$100)&amp;"'!D4")</f>
        <v>#REF!</v>
      </c>
    </row>
    <row r="102" spans="1:20" x14ac:dyDescent="0.25">
      <c r="A102" t="s">
        <v>156</v>
      </c>
      <c r="B102">
        <f t="shared" ref="B102:O102" ca="1" si="3">INDIRECT("'"&amp;INDEX(Sheet,B$100)&amp;"'!D5")</f>
        <v>0</v>
      </c>
      <c r="C102">
        <f t="shared" ca="1" si="3"/>
        <v>0</v>
      </c>
      <c r="D102">
        <f t="shared" ca="1" si="3"/>
        <v>0</v>
      </c>
      <c r="E102">
        <f t="shared" ca="1" si="3"/>
        <v>0</v>
      </c>
      <c r="F102">
        <f t="shared" ca="1" si="3"/>
        <v>0</v>
      </c>
      <c r="G102">
        <f t="shared" ca="1" si="3"/>
        <v>0</v>
      </c>
      <c r="H102">
        <f t="shared" ca="1" si="3"/>
        <v>0</v>
      </c>
      <c r="I102">
        <f t="shared" ca="1" si="3"/>
        <v>0</v>
      </c>
      <c r="J102">
        <f t="shared" ca="1" si="3"/>
        <v>0</v>
      </c>
      <c r="K102">
        <f t="shared" ca="1" si="3"/>
        <v>0</v>
      </c>
      <c r="L102" t="e">
        <f t="shared" ca="1" si="3"/>
        <v>#REF!</v>
      </c>
      <c r="M102" t="e">
        <f t="shared" ca="1" si="3"/>
        <v>#REF!</v>
      </c>
      <c r="N102" t="e">
        <f t="shared" ca="1" si="3"/>
        <v>#REF!</v>
      </c>
      <c r="O102" t="e">
        <f t="shared" ca="1" si="3"/>
        <v>#REF!</v>
      </c>
      <c r="P102" t="e">
        <f t="shared" ref="P102:S102" ca="1" si="4">INDIRECT("'"&amp;INDEX(Sheet,P$100)&amp;"'!D5")</f>
        <v>#REF!</v>
      </c>
      <c r="Q102" t="e">
        <f t="shared" ca="1" si="4"/>
        <v>#REF!</v>
      </c>
      <c r="R102" t="e">
        <f t="shared" ca="1" si="4"/>
        <v>#REF!</v>
      </c>
      <c r="S102" t="e">
        <f t="shared" ca="1" si="4"/>
        <v>#REF!</v>
      </c>
      <c r="T102" t="e">
        <f ca="1">INDIRECT("'"&amp;INDEX(Sheet,T$100)&amp;"'!D5")</f>
        <v>#REF!</v>
      </c>
    </row>
    <row r="103" spans="1:20" x14ac:dyDescent="0.25">
      <c r="A103" t="s">
        <v>157</v>
      </c>
      <c r="B103">
        <f t="shared" ref="B103:O103" ca="1" si="5">INDIRECT("'"&amp;INDEX(Sheet,B$100)&amp;"'!D6")</f>
        <v>0</v>
      </c>
      <c r="C103">
        <f t="shared" ca="1" si="5"/>
        <v>0</v>
      </c>
      <c r="D103">
        <f t="shared" ca="1" si="5"/>
        <v>0</v>
      </c>
      <c r="E103">
        <f t="shared" ca="1" si="5"/>
        <v>0</v>
      </c>
      <c r="F103">
        <f t="shared" ca="1" si="5"/>
        <v>0</v>
      </c>
      <c r="G103">
        <f t="shared" ca="1" si="5"/>
        <v>0</v>
      </c>
      <c r="H103">
        <f t="shared" ca="1" si="5"/>
        <v>0</v>
      </c>
      <c r="I103">
        <f t="shared" ca="1" si="5"/>
        <v>0</v>
      </c>
      <c r="J103">
        <f t="shared" ca="1" si="5"/>
        <v>0</v>
      </c>
      <c r="K103">
        <f t="shared" ca="1" si="5"/>
        <v>0</v>
      </c>
      <c r="L103" t="e">
        <f t="shared" ca="1" si="5"/>
        <v>#REF!</v>
      </c>
      <c r="M103" t="e">
        <f t="shared" ca="1" si="5"/>
        <v>#REF!</v>
      </c>
      <c r="N103" t="e">
        <f t="shared" ca="1" si="5"/>
        <v>#REF!</v>
      </c>
      <c r="O103" t="e">
        <f t="shared" ca="1" si="5"/>
        <v>#REF!</v>
      </c>
      <c r="P103" t="e">
        <f t="shared" ref="P103:S103" ca="1" si="6">INDIRECT("'"&amp;INDEX(Sheet,P$100)&amp;"'!D6")</f>
        <v>#REF!</v>
      </c>
      <c r="Q103" t="e">
        <f t="shared" ca="1" si="6"/>
        <v>#REF!</v>
      </c>
      <c r="R103" t="e">
        <f t="shared" ca="1" si="6"/>
        <v>#REF!</v>
      </c>
      <c r="S103" t="e">
        <f t="shared" ca="1" si="6"/>
        <v>#REF!</v>
      </c>
      <c r="T103" t="e">
        <f ca="1">INDIRECT("'"&amp;INDEX(Sheet,T$100)&amp;"'!D6")</f>
        <v>#REF!</v>
      </c>
    </row>
    <row r="104" spans="1:20" x14ac:dyDescent="0.25">
      <c r="A104" t="s">
        <v>159</v>
      </c>
      <c r="B104">
        <f t="shared" ref="B104:O104" ca="1" si="7">INDIRECT("'"&amp;INDEX(Sheet,B$100)&amp;"'!D7")</f>
        <v>0</v>
      </c>
      <c r="C104">
        <f t="shared" ca="1" si="7"/>
        <v>0</v>
      </c>
      <c r="D104">
        <f t="shared" ca="1" si="7"/>
        <v>0</v>
      </c>
      <c r="E104">
        <f t="shared" ca="1" si="7"/>
        <v>0</v>
      </c>
      <c r="F104">
        <f t="shared" ca="1" si="7"/>
        <v>0</v>
      </c>
      <c r="G104">
        <f t="shared" ca="1" si="7"/>
        <v>0</v>
      </c>
      <c r="H104">
        <f t="shared" ca="1" si="7"/>
        <v>0</v>
      </c>
      <c r="I104">
        <f t="shared" ca="1" si="7"/>
        <v>0</v>
      </c>
      <c r="J104">
        <f t="shared" ca="1" si="7"/>
        <v>0</v>
      </c>
      <c r="K104">
        <f t="shared" ca="1" si="7"/>
        <v>0</v>
      </c>
      <c r="L104" t="e">
        <f t="shared" ca="1" si="7"/>
        <v>#REF!</v>
      </c>
      <c r="M104" t="e">
        <f t="shared" ca="1" si="7"/>
        <v>#REF!</v>
      </c>
      <c r="N104" t="e">
        <f t="shared" ca="1" si="7"/>
        <v>#REF!</v>
      </c>
      <c r="O104" t="e">
        <f t="shared" ca="1" si="7"/>
        <v>#REF!</v>
      </c>
      <c r="P104" t="e">
        <f t="shared" ref="P104:S104" ca="1" si="8">INDIRECT("'"&amp;INDEX(Sheet,P$100)&amp;"'!D7")</f>
        <v>#REF!</v>
      </c>
      <c r="Q104" t="e">
        <f t="shared" ca="1" si="8"/>
        <v>#REF!</v>
      </c>
      <c r="R104" t="e">
        <f t="shared" ca="1" si="8"/>
        <v>#REF!</v>
      </c>
      <c r="S104" t="e">
        <f t="shared" ca="1" si="8"/>
        <v>#REF!</v>
      </c>
      <c r="T104" t="e">
        <f ca="1">INDIRECT("'"&amp;INDEX(Sheet,T$100)&amp;"'!D7")</f>
        <v>#REF!</v>
      </c>
    </row>
    <row r="105" spans="1:20" x14ac:dyDescent="0.25">
      <c r="A105" t="s">
        <v>158</v>
      </c>
      <c r="B105">
        <f t="shared" ref="B105:O105" ca="1" si="9">INDIRECT("'"&amp;INDEX(Sheet,B$100)&amp;"'!D8")</f>
        <v>15</v>
      </c>
      <c r="C105">
        <f t="shared" ca="1" si="9"/>
        <v>16</v>
      </c>
      <c r="D105">
        <f t="shared" ca="1" si="9"/>
        <v>17</v>
      </c>
      <c r="E105">
        <f t="shared" ca="1" si="9"/>
        <v>37</v>
      </c>
      <c r="F105">
        <f t="shared" ca="1" si="9"/>
        <v>87</v>
      </c>
      <c r="G105">
        <f t="shared" ca="1" si="9"/>
        <v>79</v>
      </c>
      <c r="H105">
        <f t="shared" ca="1" si="9"/>
        <v>77</v>
      </c>
      <c r="I105">
        <f t="shared" ca="1" si="9"/>
        <v>45</v>
      </c>
      <c r="J105">
        <f t="shared" ca="1" si="9"/>
        <v>19</v>
      </c>
      <c r="K105">
        <f t="shared" ca="1" si="9"/>
        <v>55</v>
      </c>
      <c r="L105" t="e">
        <f t="shared" ca="1" si="9"/>
        <v>#REF!</v>
      </c>
      <c r="M105" t="e">
        <f t="shared" ca="1" si="9"/>
        <v>#REF!</v>
      </c>
      <c r="N105" t="e">
        <f t="shared" ca="1" si="9"/>
        <v>#REF!</v>
      </c>
      <c r="O105" t="e">
        <f t="shared" ca="1" si="9"/>
        <v>#REF!</v>
      </c>
      <c r="P105" t="e">
        <f t="shared" ref="P105:S105" ca="1" si="10">INDIRECT("'"&amp;INDEX(Sheet,P$100)&amp;"'!D8")</f>
        <v>#REF!</v>
      </c>
      <c r="Q105" t="e">
        <f t="shared" ca="1" si="10"/>
        <v>#REF!</v>
      </c>
      <c r="R105" t="e">
        <f t="shared" ca="1" si="10"/>
        <v>#REF!</v>
      </c>
      <c r="S105" t="e">
        <f t="shared" ca="1" si="10"/>
        <v>#REF!</v>
      </c>
      <c r="T105" t="e">
        <f ca="1">INDIRECT("'"&amp;INDEX(Sheet,T$100)&amp;"'!D8")</f>
        <v>#REF!</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7F66E-9A52-4DA0-89FD-32894FDEB62F}">
  <dimension ref="A1:J25"/>
  <sheetViews>
    <sheetView topLeftCell="A16" zoomScale="85" zoomScaleNormal="85" workbookViewId="0">
      <selection activeCell="D18" sqref="D18"/>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19</v>
      </c>
      <c r="E2" s="1"/>
      <c r="F2" s="1"/>
      <c r="G2" s="1"/>
      <c r="H2" s="1"/>
      <c r="I2" s="1"/>
      <c r="J2" s="1"/>
    </row>
    <row r="3" spans="1:10" ht="15.6" x14ac:dyDescent="0.3">
      <c r="A3" s="1"/>
      <c r="B3" s="1"/>
      <c r="C3" s="2" t="s">
        <v>2</v>
      </c>
      <c r="D3" s="2" t="str">
        <f>LEFT($A$11,FIND("_",$A$11)-1)</f>
        <v>DN</v>
      </c>
      <c r="E3" s="1"/>
      <c r="F3" s="1"/>
      <c r="G3" s="1"/>
      <c r="H3" s="1"/>
      <c r="I3" s="1"/>
      <c r="J3" s="1"/>
    </row>
    <row r="4" spans="1:10" ht="15.6" x14ac:dyDescent="0.3">
      <c r="A4" s="1"/>
      <c r="B4" s="1"/>
      <c r="C4" s="2" t="s">
        <v>3</v>
      </c>
      <c r="D4" s="2">
        <f>COUNTIF(H:H,"P")</f>
        <v>15</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15</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71.6" x14ac:dyDescent="0.25">
      <c r="A11" s="4" t="s">
        <v>20</v>
      </c>
      <c r="B11" s="5" t="s">
        <v>17</v>
      </c>
      <c r="C11" s="5" t="s">
        <v>21</v>
      </c>
      <c r="D11" s="5" t="s">
        <v>22</v>
      </c>
      <c r="E11" s="6" t="s">
        <v>18</v>
      </c>
      <c r="F11" s="6"/>
      <c r="G11" s="6"/>
      <c r="H11" s="6" t="str">
        <f t="shared" ref="H11:H25" si="0">IF(ISBLANK(G11),IF(ISBLANK(F11),IF(ISBLANK(E11),"",E11),F11),G11)</f>
        <v>P</v>
      </c>
      <c r="I11" s="5"/>
      <c r="J11" s="5"/>
    </row>
    <row r="12" spans="1:10" ht="109.2" x14ac:dyDescent="0.25">
      <c r="A12" s="4" t="s">
        <v>23</v>
      </c>
      <c r="B12" s="5" t="s">
        <v>24</v>
      </c>
      <c r="C12" s="5" t="s">
        <v>25</v>
      </c>
      <c r="D12" s="5" t="s">
        <v>26</v>
      </c>
      <c r="E12" s="6" t="s">
        <v>18</v>
      </c>
      <c r="F12" s="6"/>
      <c r="G12" s="6"/>
      <c r="H12" s="6" t="str">
        <f t="shared" si="0"/>
        <v>P</v>
      </c>
      <c r="I12" s="5"/>
      <c r="J12" s="5"/>
    </row>
    <row r="13" spans="1:10" ht="31.2" x14ac:dyDescent="0.25">
      <c r="A13" s="4" t="s">
        <v>27</v>
      </c>
      <c r="B13" s="5" t="s">
        <v>28</v>
      </c>
      <c r="C13" s="5" t="s">
        <v>29</v>
      </c>
      <c r="D13" s="5" t="s">
        <v>30</v>
      </c>
      <c r="E13" s="6" t="s">
        <v>18</v>
      </c>
      <c r="F13" s="6"/>
      <c r="G13" s="6"/>
      <c r="H13" s="6" t="str">
        <f t="shared" si="0"/>
        <v>P</v>
      </c>
      <c r="I13" s="5"/>
      <c r="J13" s="5"/>
    </row>
    <row r="14" spans="1:10" ht="46.8" x14ac:dyDescent="0.25">
      <c r="A14" s="4" t="s">
        <v>31</v>
      </c>
      <c r="B14" s="5" t="s">
        <v>32</v>
      </c>
      <c r="C14" s="5" t="s">
        <v>33</v>
      </c>
      <c r="D14" s="5" t="s">
        <v>34</v>
      </c>
      <c r="E14" s="6" t="s">
        <v>18</v>
      </c>
      <c r="F14" s="6"/>
      <c r="G14" s="6"/>
      <c r="H14" s="6" t="str">
        <f t="shared" si="0"/>
        <v>P</v>
      </c>
      <c r="I14" s="5"/>
      <c r="J14" s="5"/>
    </row>
    <row r="15" spans="1:10" ht="31.2" x14ac:dyDescent="0.25">
      <c r="A15" s="4" t="s">
        <v>35</v>
      </c>
      <c r="B15" s="5" t="s">
        <v>36</v>
      </c>
      <c r="C15" s="5" t="s">
        <v>37</v>
      </c>
      <c r="D15" s="5" t="s">
        <v>38</v>
      </c>
      <c r="E15" s="6" t="s">
        <v>18</v>
      </c>
      <c r="F15" s="6"/>
      <c r="G15" s="6"/>
      <c r="H15" s="6" t="str">
        <f t="shared" si="0"/>
        <v>P</v>
      </c>
      <c r="I15" s="5"/>
      <c r="J15" s="5"/>
    </row>
    <row r="16" spans="1:10" ht="31.2" x14ac:dyDescent="0.25">
      <c r="A16" s="4" t="s">
        <v>39</v>
      </c>
      <c r="B16" s="5" t="s">
        <v>40</v>
      </c>
      <c r="C16" s="5" t="s">
        <v>41</v>
      </c>
      <c r="D16" s="5" t="s">
        <v>42</v>
      </c>
      <c r="E16" s="6" t="s">
        <v>18</v>
      </c>
      <c r="F16" s="6"/>
      <c r="G16" s="6"/>
      <c r="H16" s="6" t="str">
        <f t="shared" si="0"/>
        <v>P</v>
      </c>
      <c r="I16" s="5"/>
      <c r="J16" s="5"/>
    </row>
    <row r="17" spans="1:10" ht="31.2" x14ac:dyDescent="0.25">
      <c r="A17" s="4" t="s">
        <v>43</v>
      </c>
      <c r="B17" s="5" t="s">
        <v>44</v>
      </c>
      <c r="C17" s="5" t="s">
        <v>41</v>
      </c>
      <c r="D17" s="5" t="s">
        <v>45</v>
      </c>
      <c r="E17" s="6" t="s">
        <v>18</v>
      </c>
      <c r="F17" s="6"/>
      <c r="G17" s="6"/>
      <c r="H17" s="6" t="str">
        <f t="shared" si="0"/>
        <v>P</v>
      </c>
      <c r="I17" s="5"/>
      <c r="J17" s="5"/>
    </row>
    <row r="18" spans="1:10" ht="31.2" x14ac:dyDescent="0.25">
      <c r="A18" s="4" t="s">
        <v>46</v>
      </c>
      <c r="B18" s="5" t="s">
        <v>47</v>
      </c>
      <c r="C18" s="5" t="s">
        <v>41</v>
      </c>
      <c r="D18" s="5" t="s">
        <v>42</v>
      </c>
      <c r="E18" s="6" t="s">
        <v>18</v>
      </c>
      <c r="F18" s="6"/>
      <c r="G18" s="6"/>
      <c r="H18" s="6" t="str">
        <f t="shared" si="0"/>
        <v>P</v>
      </c>
      <c r="I18" s="5"/>
      <c r="J18" s="5"/>
    </row>
    <row r="19" spans="1:10" ht="15.6" x14ac:dyDescent="0.25">
      <c r="A19" s="4" t="s">
        <v>48</v>
      </c>
      <c r="B19" s="5" t="s">
        <v>49</v>
      </c>
      <c r="C19" s="5" t="s">
        <v>41</v>
      </c>
      <c r="D19" s="5" t="s">
        <v>42</v>
      </c>
      <c r="E19" s="6" t="s">
        <v>18</v>
      </c>
      <c r="F19" s="6"/>
      <c r="G19" s="6"/>
      <c r="H19" s="6" t="str">
        <f t="shared" si="0"/>
        <v>P</v>
      </c>
      <c r="I19" s="5"/>
      <c r="J19" s="5"/>
    </row>
    <row r="20" spans="1:10" ht="31.2" x14ac:dyDescent="0.25">
      <c r="A20" s="4" t="s">
        <v>50</v>
      </c>
      <c r="B20" s="5" t="s">
        <v>51</v>
      </c>
      <c r="C20" s="5" t="s">
        <v>41</v>
      </c>
      <c r="D20" s="5" t="s">
        <v>42</v>
      </c>
      <c r="E20" s="6" t="s">
        <v>18</v>
      </c>
      <c r="F20" s="6"/>
      <c r="G20" s="6"/>
      <c r="H20" s="6" t="str">
        <f t="shared" si="0"/>
        <v>P</v>
      </c>
      <c r="I20" s="7"/>
      <c r="J20" s="7"/>
    </row>
    <row r="21" spans="1:10" ht="46.8" x14ac:dyDescent="0.25">
      <c r="A21" s="4" t="s">
        <v>52</v>
      </c>
      <c r="B21" s="5" t="s">
        <v>54</v>
      </c>
      <c r="C21" s="5" t="s">
        <v>53</v>
      </c>
      <c r="D21" s="5" t="s">
        <v>55</v>
      </c>
      <c r="E21" s="6" t="s">
        <v>18</v>
      </c>
      <c r="F21" s="6"/>
      <c r="G21" s="6"/>
      <c r="H21" s="6" t="str">
        <f t="shared" si="0"/>
        <v>P</v>
      </c>
      <c r="I21" s="7"/>
      <c r="J21" s="7"/>
    </row>
    <row r="22" spans="1:10" ht="46.8" x14ac:dyDescent="0.25">
      <c r="A22" s="4" t="s">
        <v>56</v>
      </c>
      <c r="B22" s="5" t="s">
        <v>58</v>
      </c>
      <c r="C22" s="5" t="s">
        <v>57</v>
      </c>
      <c r="D22" s="5" t="s">
        <v>62</v>
      </c>
      <c r="E22" s="6" t="s">
        <v>18</v>
      </c>
      <c r="F22" s="6"/>
      <c r="G22" s="6"/>
      <c r="H22" s="6" t="str">
        <f t="shared" si="0"/>
        <v>P</v>
      </c>
      <c r="I22" s="7"/>
      <c r="J22" s="7"/>
    </row>
    <row r="23" spans="1:10" ht="46.8" x14ac:dyDescent="0.25">
      <c r="A23" s="4" t="s">
        <v>59</v>
      </c>
      <c r="B23" s="5" t="s">
        <v>58</v>
      </c>
      <c r="C23" s="5" t="s">
        <v>60</v>
      </c>
      <c r="D23" s="5" t="s">
        <v>61</v>
      </c>
      <c r="E23" s="6" t="s">
        <v>18</v>
      </c>
      <c r="F23" s="6"/>
      <c r="G23" s="6"/>
      <c r="H23" s="6" t="str">
        <f t="shared" si="0"/>
        <v>P</v>
      </c>
      <c r="I23" s="7"/>
      <c r="J23" s="7"/>
    </row>
    <row r="24" spans="1:10" ht="46.8" x14ac:dyDescent="0.25">
      <c r="A24" s="4" t="s">
        <v>63</v>
      </c>
      <c r="B24" s="5" t="s">
        <v>58</v>
      </c>
      <c r="C24" s="5" t="s">
        <v>64</v>
      </c>
      <c r="D24" s="5" t="s">
        <v>65</v>
      </c>
      <c r="E24" s="6" t="s">
        <v>18</v>
      </c>
      <c r="F24" s="6"/>
      <c r="G24" s="6"/>
      <c r="H24" s="6" t="str">
        <f t="shared" si="0"/>
        <v>P</v>
      </c>
      <c r="I24" s="7"/>
      <c r="J24" s="7"/>
    </row>
    <row r="25" spans="1:10" ht="31.2" x14ac:dyDescent="0.25">
      <c r="A25" s="4" t="s">
        <v>66</v>
      </c>
      <c r="B25" s="5" t="s">
        <v>51</v>
      </c>
      <c r="C25" s="5" t="s">
        <v>67</v>
      </c>
      <c r="D25" s="5" t="s">
        <v>68</v>
      </c>
      <c r="E25" s="6" t="s">
        <v>18</v>
      </c>
      <c r="F25" s="6"/>
      <c r="G25" s="6"/>
      <c r="H25" s="6" t="str">
        <f t="shared" si="0"/>
        <v>P</v>
      </c>
      <c r="I25" s="4"/>
      <c r="J25" s="7"/>
    </row>
  </sheetData>
  <mergeCells count="1">
    <mergeCell ref="C1:D1"/>
  </mergeCells>
  <phoneticPr fontId="2" type="noConversion"/>
  <conditionalFormatting sqref="H11:H25">
    <cfRule type="expression" dxfId="86" priority="2">
      <formula>IF(H11="F",TRUE,FALSE)</formula>
    </cfRule>
    <cfRule type="expression" dxfId="85" priority="3">
      <formula>IF(H11="P",TRUE,FALSE)</formula>
    </cfRule>
  </conditionalFormatting>
  <conditionalFormatting sqref="H11:H25">
    <cfRule type="expression" dxfId="84" priority="1">
      <formula>IF(H11="PE",TRUE,FALSE)</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3A5C6-80D7-4572-A0FE-3CEBA8DB3635}">
  <dimension ref="A1:J26"/>
  <sheetViews>
    <sheetView topLeftCell="A16" zoomScale="85" zoomScaleNormal="85" workbookViewId="0">
      <selection activeCell="D20" sqref="D20"/>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69</v>
      </c>
      <c r="E2" s="1"/>
      <c r="F2" s="1"/>
      <c r="G2" s="1"/>
      <c r="H2" s="1"/>
      <c r="I2" s="1"/>
      <c r="J2" s="1"/>
    </row>
    <row r="3" spans="1:10" ht="15.6" x14ac:dyDescent="0.3">
      <c r="A3" s="1"/>
      <c r="B3" s="1"/>
      <c r="C3" s="2" t="s">
        <v>2</v>
      </c>
      <c r="D3" s="2" t="str">
        <f>LEFT($A$11,FIND("_",$A$11)-1)</f>
        <v>MHC</v>
      </c>
      <c r="E3" s="1"/>
      <c r="F3" s="1"/>
      <c r="G3" s="1"/>
      <c r="H3" s="1"/>
      <c r="I3" s="1"/>
      <c r="J3" s="1"/>
    </row>
    <row r="4" spans="1:10" ht="15.6" x14ac:dyDescent="0.3">
      <c r="A4" s="1"/>
      <c r="B4" s="1"/>
      <c r="C4" s="2" t="s">
        <v>3</v>
      </c>
      <c r="D4" s="2">
        <f>COUNTIF(H:H,"P")</f>
        <v>16</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16</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87.2" x14ac:dyDescent="0.25">
      <c r="A11" s="4" t="s">
        <v>70</v>
      </c>
      <c r="B11" s="5" t="s">
        <v>17</v>
      </c>
      <c r="C11" s="5" t="s">
        <v>71</v>
      </c>
      <c r="D11" s="5" t="s">
        <v>72</v>
      </c>
      <c r="E11" s="6" t="s">
        <v>18</v>
      </c>
      <c r="F11" s="6"/>
      <c r="G11" s="6"/>
      <c r="H11" s="6" t="str">
        <f t="shared" ref="H11:H26" si="0">IF(ISBLANK(G11),IF(ISBLANK(F11),IF(ISBLANK(E11),"",E11),F11),G11)</f>
        <v>P</v>
      </c>
      <c r="I11" s="8"/>
      <c r="J11" s="8"/>
    </row>
    <row r="12" spans="1:10" ht="78" x14ac:dyDescent="0.25">
      <c r="A12" s="4" t="s">
        <v>73</v>
      </c>
      <c r="B12" s="5" t="s">
        <v>24</v>
      </c>
      <c r="C12" s="5" t="s">
        <v>87</v>
      </c>
      <c r="D12" s="5" t="s">
        <v>88</v>
      </c>
      <c r="E12" s="6" t="s">
        <v>18</v>
      </c>
      <c r="F12" s="6"/>
      <c r="G12" s="6"/>
      <c r="H12" s="6" t="str">
        <f t="shared" si="0"/>
        <v>P</v>
      </c>
      <c r="I12" s="8"/>
      <c r="J12" s="8"/>
    </row>
    <row r="13" spans="1:10" ht="78" x14ac:dyDescent="0.25">
      <c r="A13" s="4" t="s">
        <v>74</v>
      </c>
      <c r="B13" s="5" t="s">
        <v>102</v>
      </c>
      <c r="C13" s="5" t="s">
        <v>87</v>
      </c>
      <c r="D13" s="5" t="s">
        <v>103</v>
      </c>
      <c r="E13" s="6" t="s">
        <v>18</v>
      </c>
      <c r="F13" s="6"/>
      <c r="G13" s="6"/>
      <c r="H13" s="6" t="str">
        <f t="shared" si="0"/>
        <v>P</v>
      </c>
      <c r="I13" s="5"/>
      <c r="J13" s="5"/>
    </row>
    <row r="14" spans="1:10" ht="31.2" x14ac:dyDescent="0.25">
      <c r="A14" s="4" t="s">
        <v>75</v>
      </c>
      <c r="B14" s="5" t="s">
        <v>28</v>
      </c>
      <c r="C14" s="5" t="s">
        <v>29</v>
      </c>
      <c r="D14" s="5" t="s">
        <v>30</v>
      </c>
      <c r="E14" s="6" t="s">
        <v>18</v>
      </c>
      <c r="F14" s="6"/>
      <c r="G14" s="6"/>
      <c r="H14" s="6" t="str">
        <f t="shared" si="0"/>
        <v>P</v>
      </c>
      <c r="I14" s="5"/>
      <c r="J14" s="5"/>
    </row>
    <row r="15" spans="1:10" ht="46.8" x14ac:dyDescent="0.25">
      <c r="A15" s="4" t="s">
        <v>76</v>
      </c>
      <c r="B15" s="5" t="s">
        <v>32</v>
      </c>
      <c r="C15" s="5" t="s">
        <v>33</v>
      </c>
      <c r="D15" s="5" t="s">
        <v>34</v>
      </c>
      <c r="E15" s="6" t="s">
        <v>18</v>
      </c>
      <c r="F15" s="6"/>
      <c r="G15" s="6"/>
      <c r="H15" s="6" t="str">
        <f t="shared" si="0"/>
        <v>P</v>
      </c>
      <c r="I15" s="5"/>
      <c r="J15" s="5"/>
    </row>
    <row r="16" spans="1:10" ht="31.2" x14ac:dyDescent="0.25">
      <c r="A16" s="4" t="s">
        <v>77</v>
      </c>
      <c r="B16" s="5" t="s">
        <v>36</v>
      </c>
      <c r="C16" s="5" t="s">
        <v>37</v>
      </c>
      <c r="D16" s="5" t="s">
        <v>38</v>
      </c>
      <c r="E16" s="6" t="s">
        <v>18</v>
      </c>
      <c r="F16" s="6"/>
      <c r="G16" s="6"/>
      <c r="H16" s="6" t="str">
        <f t="shared" si="0"/>
        <v>P</v>
      </c>
      <c r="I16" s="5"/>
      <c r="J16" s="5"/>
    </row>
    <row r="17" spans="1:10" ht="15.6" x14ac:dyDescent="0.25">
      <c r="A17" s="4" t="s">
        <v>80</v>
      </c>
      <c r="B17" s="5" t="s">
        <v>79</v>
      </c>
      <c r="C17" s="5" t="s">
        <v>41</v>
      </c>
      <c r="D17" s="5" t="s">
        <v>78</v>
      </c>
      <c r="E17" s="6" t="s">
        <v>18</v>
      </c>
      <c r="F17" s="6"/>
      <c r="G17" s="6"/>
      <c r="H17" s="6" t="str">
        <f t="shared" si="0"/>
        <v>P</v>
      </c>
      <c r="I17" s="5"/>
      <c r="J17" s="5"/>
    </row>
    <row r="18" spans="1:10" ht="31.2" x14ac:dyDescent="0.25">
      <c r="A18" s="4" t="s">
        <v>82</v>
      </c>
      <c r="B18" s="5" t="s">
        <v>124</v>
      </c>
      <c r="C18" s="5" t="s">
        <v>41</v>
      </c>
      <c r="D18" s="5" t="s">
        <v>42</v>
      </c>
      <c r="E18" s="6" t="s">
        <v>18</v>
      </c>
      <c r="F18" s="6"/>
      <c r="G18" s="6"/>
      <c r="H18" s="6" t="str">
        <f t="shared" si="0"/>
        <v>P</v>
      </c>
      <c r="I18" s="5"/>
      <c r="J18" s="5"/>
    </row>
    <row r="19" spans="1:10" ht="15.6" x14ac:dyDescent="0.25">
      <c r="A19" s="4" t="s">
        <v>83</v>
      </c>
      <c r="B19" s="5" t="s">
        <v>81</v>
      </c>
      <c r="C19" s="5" t="s">
        <v>41</v>
      </c>
      <c r="D19" s="5" t="s">
        <v>78</v>
      </c>
      <c r="E19" s="6" t="s">
        <v>18</v>
      </c>
      <c r="F19" s="6"/>
      <c r="G19" s="6"/>
      <c r="H19" s="6" t="str">
        <f t="shared" si="0"/>
        <v>P</v>
      </c>
      <c r="I19" s="5"/>
      <c r="J19" s="5"/>
    </row>
    <row r="20" spans="1:10" ht="15.6" x14ac:dyDescent="0.25">
      <c r="A20" s="4" t="s">
        <v>84</v>
      </c>
      <c r="B20" s="5" t="s">
        <v>85</v>
      </c>
      <c r="C20" s="5" t="s">
        <v>41</v>
      </c>
      <c r="D20" s="5" t="s">
        <v>78</v>
      </c>
      <c r="E20" s="6" t="s">
        <v>18</v>
      </c>
      <c r="F20" s="6"/>
      <c r="G20" s="6"/>
      <c r="H20" s="6" t="str">
        <f t="shared" si="0"/>
        <v>P</v>
      </c>
      <c r="I20" s="5"/>
      <c r="J20" s="5"/>
    </row>
    <row r="21" spans="1:10" ht="15.6" x14ac:dyDescent="0.25">
      <c r="A21" s="4" t="s">
        <v>90</v>
      </c>
      <c r="B21" s="5" t="s">
        <v>86</v>
      </c>
      <c r="C21" s="5" t="s">
        <v>41</v>
      </c>
      <c r="D21" s="5" t="s">
        <v>78</v>
      </c>
      <c r="E21" s="6" t="s">
        <v>18</v>
      </c>
      <c r="F21" s="6"/>
      <c r="G21" s="6"/>
      <c r="H21" s="6" t="str">
        <f t="shared" si="0"/>
        <v>P</v>
      </c>
      <c r="I21" s="5"/>
      <c r="J21" s="5"/>
    </row>
    <row r="22" spans="1:10" ht="15.6" x14ac:dyDescent="0.25">
      <c r="A22" s="4" t="s">
        <v>91</v>
      </c>
      <c r="B22" s="5" t="s">
        <v>79</v>
      </c>
      <c r="C22" s="5" t="s">
        <v>89</v>
      </c>
      <c r="D22" s="5" t="s">
        <v>94</v>
      </c>
      <c r="E22" s="6" t="s">
        <v>18</v>
      </c>
      <c r="F22" s="6"/>
      <c r="G22" s="6"/>
      <c r="H22" s="6" t="str">
        <f t="shared" si="0"/>
        <v>P</v>
      </c>
      <c r="I22" s="5"/>
      <c r="J22" s="5"/>
    </row>
    <row r="23" spans="1:10" ht="31.2" x14ac:dyDescent="0.25">
      <c r="A23" s="4" t="s">
        <v>92</v>
      </c>
      <c r="B23" s="5" t="s">
        <v>124</v>
      </c>
      <c r="C23" s="5" t="s">
        <v>125</v>
      </c>
      <c r="D23" s="5" t="s">
        <v>94</v>
      </c>
      <c r="E23" s="6" t="s">
        <v>18</v>
      </c>
      <c r="F23" s="6"/>
      <c r="G23" s="6"/>
      <c r="H23" s="6" t="str">
        <f t="shared" si="0"/>
        <v>P</v>
      </c>
      <c r="I23" s="5"/>
      <c r="J23" s="5"/>
    </row>
    <row r="24" spans="1:10" ht="15.6" x14ac:dyDescent="0.25">
      <c r="A24" s="4" t="s">
        <v>93</v>
      </c>
      <c r="B24" s="5" t="s">
        <v>81</v>
      </c>
      <c r="C24" s="5" t="s">
        <v>95</v>
      </c>
      <c r="D24" s="5" t="s">
        <v>96</v>
      </c>
      <c r="E24" s="6" t="s">
        <v>18</v>
      </c>
      <c r="F24" s="6"/>
      <c r="G24" s="6"/>
      <c r="H24" s="6" t="str">
        <f t="shared" si="0"/>
        <v>P</v>
      </c>
      <c r="I24" s="5"/>
      <c r="J24" s="5"/>
    </row>
    <row r="25" spans="1:10" ht="15.6" x14ac:dyDescent="0.25">
      <c r="A25" s="4" t="s">
        <v>101</v>
      </c>
      <c r="B25" s="5" t="s">
        <v>85</v>
      </c>
      <c r="C25" s="5" t="s">
        <v>97</v>
      </c>
      <c r="D25" s="5" t="s">
        <v>98</v>
      </c>
      <c r="E25" s="6" t="s">
        <v>18</v>
      </c>
      <c r="F25" s="6"/>
      <c r="G25" s="6"/>
      <c r="H25" s="6" t="str">
        <f t="shared" si="0"/>
        <v>P</v>
      </c>
      <c r="I25" s="5"/>
      <c r="J25" s="5"/>
    </row>
    <row r="26" spans="1:10" ht="15.6" x14ac:dyDescent="0.25">
      <c r="A26" s="4" t="s">
        <v>126</v>
      </c>
      <c r="B26" s="5" t="s">
        <v>86</v>
      </c>
      <c r="C26" s="5" t="s">
        <v>99</v>
      </c>
      <c r="D26" s="5" t="s">
        <v>100</v>
      </c>
      <c r="E26" s="6" t="s">
        <v>18</v>
      </c>
      <c r="F26" s="6"/>
      <c r="G26" s="6"/>
      <c r="H26" s="6" t="str">
        <f t="shared" si="0"/>
        <v>P</v>
      </c>
      <c r="I26" s="5"/>
      <c r="J26" s="5"/>
    </row>
  </sheetData>
  <mergeCells count="1">
    <mergeCell ref="C1:D1"/>
  </mergeCells>
  <phoneticPr fontId="2" type="noConversion"/>
  <conditionalFormatting sqref="H11">
    <cfRule type="expression" dxfId="83" priority="14">
      <formula>IF(H11="F",TRUE,FALSE)</formula>
    </cfRule>
    <cfRule type="expression" dxfId="82" priority="15">
      <formula>IF(H11="P",TRUE,FALSE)</formula>
    </cfRule>
  </conditionalFormatting>
  <conditionalFormatting sqref="H11">
    <cfRule type="expression" dxfId="81" priority="13">
      <formula>IF(H11="PE",TRUE,FALSE)</formula>
    </cfRule>
  </conditionalFormatting>
  <conditionalFormatting sqref="H12">
    <cfRule type="expression" dxfId="80" priority="11">
      <formula>IF(H12="F",TRUE,FALSE)</formula>
    </cfRule>
    <cfRule type="expression" dxfId="79" priority="12">
      <formula>IF(H12="P",TRUE,FALSE)</formula>
    </cfRule>
  </conditionalFormatting>
  <conditionalFormatting sqref="H12">
    <cfRule type="expression" dxfId="78" priority="10">
      <formula>IF(H12="PE",TRUE,FALSE)</formula>
    </cfRule>
  </conditionalFormatting>
  <conditionalFormatting sqref="H13:H16">
    <cfRule type="expression" dxfId="77" priority="8">
      <formula>IF(H13="F",TRUE,FALSE)</formula>
    </cfRule>
    <cfRule type="expression" dxfId="76" priority="9">
      <formula>IF(H13="P",TRUE,FALSE)</formula>
    </cfRule>
  </conditionalFormatting>
  <conditionalFormatting sqref="H13:H16">
    <cfRule type="expression" dxfId="75" priority="7">
      <formula>IF(H13="PE",TRUE,FALSE)</formula>
    </cfRule>
  </conditionalFormatting>
  <conditionalFormatting sqref="H17:H18">
    <cfRule type="expression" dxfId="74" priority="5">
      <formula>IF(H17="F",TRUE,FALSE)</formula>
    </cfRule>
    <cfRule type="expression" dxfId="73" priority="6">
      <formula>IF(H17="P",TRUE,FALSE)</formula>
    </cfRule>
  </conditionalFormatting>
  <conditionalFormatting sqref="H17:H18">
    <cfRule type="expression" dxfId="72" priority="4">
      <formula>IF(H17="PE",TRUE,FALSE)</formula>
    </cfRule>
  </conditionalFormatting>
  <conditionalFormatting sqref="H19:H26">
    <cfRule type="expression" dxfId="71" priority="2">
      <formula>IF(H19="F",TRUE,FALSE)</formula>
    </cfRule>
    <cfRule type="expression" dxfId="70" priority="3">
      <formula>IF(H19="P",TRUE,FALSE)</formula>
    </cfRule>
  </conditionalFormatting>
  <conditionalFormatting sqref="H19:H26">
    <cfRule type="expression" dxfId="69" priority="1">
      <formula>IF(H19="PE",TRUE,FALSE)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FB62E-F684-47C2-998F-8133F1015E0C}">
  <dimension ref="A1:J27"/>
  <sheetViews>
    <sheetView topLeftCell="A16" zoomScale="85" zoomScaleNormal="85" workbookViewId="0">
      <selection activeCell="D18" sqref="D18"/>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104</v>
      </c>
      <c r="E2" s="1"/>
      <c r="F2" s="1"/>
      <c r="G2" s="1"/>
      <c r="H2" s="1"/>
      <c r="I2" s="1"/>
      <c r="J2" s="1"/>
    </row>
    <row r="3" spans="1:10" ht="15.6" x14ac:dyDescent="0.3">
      <c r="A3" s="1"/>
      <c r="B3" s="1"/>
      <c r="C3" s="2" t="s">
        <v>2</v>
      </c>
      <c r="D3" s="2" t="str">
        <f>LEFT($A$11,FIND("_",$A$11)-1)</f>
        <v>NS</v>
      </c>
      <c r="E3" s="1"/>
      <c r="F3" s="1"/>
      <c r="G3" s="1"/>
      <c r="H3" s="1"/>
      <c r="I3" s="1"/>
      <c r="J3" s="1"/>
    </row>
    <row r="4" spans="1:10" ht="15.6" x14ac:dyDescent="0.3">
      <c r="A4" s="1"/>
      <c r="B4" s="1"/>
      <c r="C4" s="2" t="s">
        <v>3</v>
      </c>
      <c r="D4" s="2">
        <f>COUNTIF(H:H,"P")</f>
        <v>17</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17</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71.6" x14ac:dyDescent="0.25">
      <c r="A11" s="4" t="s">
        <v>105</v>
      </c>
      <c r="B11" s="5" t="s">
        <v>17</v>
      </c>
      <c r="C11" s="5" t="s">
        <v>21</v>
      </c>
      <c r="D11" s="5" t="s">
        <v>120</v>
      </c>
      <c r="E11" s="6" t="s">
        <v>18</v>
      </c>
      <c r="F11" s="6"/>
      <c r="G11" s="6"/>
      <c r="H11" s="6" t="str">
        <f t="shared" ref="H11:H27" si="0">IF(ISBLANK(G11),IF(ISBLANK(F11),IF(ISBLANK(E11),"",E11),F11),G11)</f>
        <v>P</v>
      </c>
      <c r="I11" s="5"/>
      <c r="J11" s="5"/>
    </row>
    <row r="12" spans="1:10" ht="109.2" x14ac:dyDescent="0.25">
      <c r="A12" s="4" t="s">
        <v>106</v>
      </c>
      <c r="B12" s="5" t="s">
        <v>24</v>
      </c>
      <c r="C12" s="5" t="s">
        <v>25</v>
      </c>
      <c r="D12" s="5" t="s">
        <v>26</v>
      </c>
      <c r="E12" s="6" t="s">
        <v>18</v>
      </c>
      <c r="F12" s="6"/>
      <c r="G12" s="6"/>
      <c r="H12" s="6" t="str">
        <f t="shared" si="0"/>
        <v>P</v>
      </c>
      <c r="I12" s="5"/>
      <c r="J12" s="5"/>
    </row>
    <row r="13" spans="1:10" ht="31.2" x14ac:dyDescent="0.25">
      <c r="A13" s="4" t="s">
        <v>107</v>
      </c>
      <c r="B13" s="5" t="s">
        <v>28</v>
      </c>
      <c r="C13" s="5" t="s">
        <v>29</v>
      </c>
      <c r="D13" s="5" t="s">
        <v>30</v>
      </c>
      <c r="E13" s="6" t="s">
        <v>18</v>
      </c>
      <c r="F13" s="6"/>
      <c r="G13" s="6"/>
      <c r="H13" s="6" t="str">
        <f t="shared" si="0"/>
        <v>P</v>
      </c>
      <c r="I13" s="5"/>
      <c r="J13" s="5"/>
    </row>
    <row r="14" spans="1:10" ht="46.8" x14ac:dyDescent="0.25">
      <c r="A14" s="4" t="s">
        <v>108</v>
      </c>
      <c r="B14" s="5" t="s">
        <v>32</v>
      </c>
      <c r="C14" s="5" t="s">
        <v>33</v>
      </c>
      <c r="D14" s="5" t="s">
        <v>34</v>
      </c>
      <c r="E14" s="6" t="s">
        <v>18</v>
      </c>
      <c r="F14" s="6"/>
      <c r="G14" s="6"/>
      <c r="H14" s="6" t="str">
        <f t="shared" si="0"/>
        <v>P</v>
      </c>
      <c r="I14" s="5"/>
      <c r="J14" s="5"/>
    </row>
    <row r="15" spans="1:10" ht="31.2" x14ac:dyDescent="0.25">
      <c r="A15" s="4" t="s">
        <v>109</v>
      </c>
      <c r="B15" s="5" t="s">
        <v>36</v>
      </c>
      <c r="C15" s="5" t="s">
        <v>37</v>
      </c>
      <c r="D15" s="5" t="s">
        <v>38</v>
      </c>
      <c r="E15" s="6" t="s">
        <v>18</v>
      </c>
      <c r="F15" s="6"/>
      <c r="G15" s="6"/>
      <c r="H15" s="6" t="str">
        <f t="shared" si="0"/>
        <v>P</v>
      </c>
      <c r="I15" s="5"/>
      <c r="J15" s="5"/>
    </row>
    <row r="16" spans="1:10" ht="15.6" x14ac:dyDescent="0.25">
      <c r="A16" s="4" t="s">
        <v>110</v>
      </c>
      <c r="B16" s="5" t="s">
        <v>139</v>
      </c>
      <c r="C16" s="5" t="s">
        <v>41</v>
      </c>
      <c r="D16" s="5" t="s">
        <v>78</v>
      </c>
      <c r="E16" s="6" t="s">
        <v>18</v>
      </c>
      <c r="F16" s="6"/>
      <c r="G16" s="6"/>
      <c r="H16" s="6" t="str">
        <f t="shared" si="0"/>
        <v>P</v>
      </c>
      <c r="I16" s="5"/>
      <c r="J16" s="5"/>
    </row>
    <row r="17" spans="1:10" ht="31.2" x14ac:dyDescent="0.25">
      <c r="A17" s="4" t="s">
        <v>111</v>
      </c>
      <c r="B17" s="5" t="s">
        <v>121</v>
      </c>
      <c r="C17" s="5" t="s">
        <v>41</v>
      </c>
      <c r="D17" s="5" t="s">
        <v>42</v>
      </c>
      <c r="E17" s="6" t="s">
        <v>18</v>
      </c>
      <c r="F17" s="6"/>
      <c r="G17" s="6"/>
      <c r="H17" s="6" t="str">
        <f t="shared" si="0"/>
        <v>P</v>
      </c>
      <c r="I17" s="5"/>
      <c r="J17" s="5"/>
    </row>
    <row r="18" spans="1:10" ht="15.6" x14ac:dyDescent="0.25">
      <c r="A18" s="4" t="s">
        <v>112</v>
      </c>
      <c r="B18" s="5" t="s">
        <v>122</v>
      </c>
      <c r="C18" s="5" t="s">
        <v>41</v>
      </c>
      <c r="D18" s="5" t="s">
        <v>42</v>
      </c>
      <c r="E18" s="6" t="s">
        <v>18</v>
      </c>
      <c r="F18" s="6"/>
      <c r="G18" s="6"/>
      <c r="H18" s="6" t="str">
        <f t="shared" si="0"/>
        <v>P</v>
      </c>
      <c r="I18" s="5"/>
      <c r="J18" s="5"/>
    </row>
    <row r="19" spans="1:10" ht="15.6" x14ac:dyDescent="0.25">
      <c r="A19" s="4" t="s">
        <v>113</v>
      </c>
      <c r="B19" s="5" t="s">
        <v>123</v>
      </c>
      <c r="C19" s="5" t="s">
        <v>41</v>
      </c>
      <c r="D19" s="5" t="s">
        <v>42</v>
      </c>
      <c r="E19" s="6" t="s">
        <v>18</v>
      </c>
      <c r="F19" s="6"/>
      <c r="G19" s="6"/>
      <c r="H19" s="6" t="str">
        <f t="shared" si="0"/>
        <v>P</v>
      </c>
      <c r="I19" s="5"/>
      <c r="J19" s="5"/>
    </row>
    <row r="20" spans="1:10" ht="31.2" x14ac:dyDescent="0.25">
      <c r="A20" s="4" t="s">
        <v>114</v>
      </c>
      <c r="B20" s="5" t="s">
        <v>127</v>
      </c>
      <c r="C20" s="5" t="s">
        <v>41</v>
      </c>
      <c r="D20" s="5" t="s">
        <v>128</v>
      </c>
      <c r="E20" s="6" t="s">
        <v>18</v>
      </c>
      <c r="F20" s="6"/>
      <c r="G20" s="6"/>
      <c r="H20" s="6" t="str">
        <f t="shared" si="0"/>
        <v>P</v>
      </c>
      <c r="I20" s="5"/>
      <c r="J20" s="5"/>
    </row>
    <row r="21" spans="1:10" ht="31.2" x14ac:dyDescent="0.25">
      <c r="A21" s="4" t="s">
        <v>115</v>
      </c>
      <c r="B21" s="5" t="s">
        <v>127</v>
      </c>
      <c r="C21" s="5" t="s">
        <v>41</v>
      </c>
      <c r="D21" s="5" t="s">
        <v>129</v>
      </c>
      <c r="E21" s="6" t="s">
        <v>18</v>
      </c>
      <c r="F21" s="6"/>
      <c r="G21" s="6"/>
      <c r="H21" s="6" t="str">
        <f t="shared" si="0"/>
        <v>P</v>
      </c>
      <c r="I21" s="5"/>
      <c r="J21" s="5"/>
    </row>
    <row r="22" spans="1:10" ht="46.8" x14ac:dyDescent="0.25">
      <c r="A22" s="4" t="s">
        <v>116</v>
      </c>
      <c r="B22" s="5" t="s">
        <v>130</v>
      </c>
      <c r="C22" s="5" t="s">
        <v>131</v>
      </c>
      <c r="D22" s="5" t="s">
        <v>132</v>
      </c>
      <c r="E22" s="6" t="s">
        <v>18</v>
      </c>
      <c r="F22" s="6"/>
      <c r="G22" s="6"/>
      <c r="H22" s="6" t="str">
        <f t="shared" si="0"/>
        <v>P</v>
      </c>
      <c r="I22" s="5"/>
      <c r="J22" s="5"/>
    </row>
    <row r="23" spans="1:10" ht="31.2" x14ac:dyDescent="0.25">
      <c r="A23" s="4" t="s">
        <v>117</v>
      </c>
      <c r="B23" s="5" t="s">
        <v>133</v>
      </c>
      <c r="C23" s="5" t="s">
        <v>134</v>
      </c>
      <c r="D23" s="5" t="s">
        <v>135</v>
      </c>
      <c r="E23" s="6" t="s">
        <v>18</v>
      </c>
      <c r="F23" s="6"/>
      <c r="G23" s="6"/>
      <c r="H23" s="6" t="str">
        <f t="shared" si="0"/>
        <v>P</v>
      </c>
      <c r="I23" s="5"/>
      <c r="J23" s="5"/>
    </row>
    <row r="24" spans="1:10" ht="31.2" x14ac:dyDescent="0.25">
      <c r="A24" s="4" t="s">
        <v>118</v>
      </c>
      <c r="B24" s="5" t="s">
        <v>136</v>
      </c>
      <c r="C24" s="5" t="s">
        <v>138</v>
      </c>
      <c r="D24" s="5" t="s">
        <v>137</v>
      </c>
      <c r="E24" s="6" t="s">
        <v>18</v>
      </c>
      <c r="F24" s="6"/>
      <c r="G24" s="6"/>
      <c r="H24" s="6" t="str">
        <f t="shared" si="0"/>
        <v>P</v>
      </c>
      <c r="I24" s="5"/>
      <c r="J24" s="5"/>
    </row>
    <row r="25" spans="1:10" ht="109.2" x14ac:dyDescent="0.25">
      <c r="A25" s="4" t="s">
        <v>119</v>
      </c>
      <c r="B25" s="5" t="s">
        <v>141</v>
      </c>
      <c r="C25" s="5" t="s">
        <v>145</v>
      </c>
      <c r="D25" s="5" t="s">
        <v>140</v>
      </c>
      <c r="E25" s="6" t="s">
        <v>18</v>
      </c>
      <c r="F25" s="6"/>
      <c r="G25" s="6"/>
      <c r="H25" s="6" t="str">
        <f t="shared" si="0"/>
        <v>P</v>
      </c>
      <c r="I25" s="5"/>
      <c r="J25" s="5"/>
    </row>
    <row r="26" spans="1:10" ht="62.4" x14ac:dyDescent="0.25">
      <c r="A26" s="4" t="s">
        <v>142</v>
      </c>
      <c r="B26" s="5" t="s">
        <v>143</v>
      </c>
      <c r="C26" s="5" t="s">
        <v>144</v>
      </c>
      <c r="D26" s="5" t="s">
        <v>140</v>
      </c>
      <c r="E26" s="6" t="s">
        <v>18</v>
      </c>
      <c r="F26" s="6"/>
      <c r="G26" s="6"/>
      <c r="H26" s="6" t="str">
        <f t="shared" si="0"/>
        <v>P</v>
      </c>
      <c r="I26" s="5"/>
      <c r="J26" s="5"/>
    </row>
    <row r="27" spans="1:10" ht="62.4" x14ac:dyDescent="0.25">
      <c r="A27" s="4" t="s">
        <v>146</v>
      </c>
      <c r="B27" s="5" t="s">
        <v>147</v>
      </c>
      <c r="C27" s="5" t="s">
        <v>148</v>
      </c>
      <c r="D27" s="5" t="s">
        <v>149</v>
      </c>
      <c r="E27" s="6" t="s">
        <v>18</v>
      </c>
      <c r="F27" s="6"/>
      <c r="G27" s="6"/>
      <c r="H27" s="6" t="str">
        <f t="shared" si="0"/>
        <v>P</v>
      </c>
      <c r="I27" s="5"/>
      <c r="J27" s="5"/>
    </row>
  </sheetData>
  <mergeCells count="1">
    <mergeCell ref="C1:D1"/>
  </mergeCells>
  <phoneticPr fontId="2" type="noConversion"/>
  <conditionalFormatting sqref="H11:H27">
    <cfRule type="expression" dxfId="68" priority="2">
      <formula>IF(H11="F",TRUE,FALSE)</formula>
    </cfRule>
    <cfRule type="expression" dxfId="67" priority="3">
      <formula>IF(H11="P",TRUE,FALSE)</formula>
    </cfRule>
  </conditionalFormatting>
  <conditionalFormatting sqref="H11:H27">
    <cfRule type="expression" dxfId="66" priority="1">
      <formula>IF(H11="PE",TRUE,FALSE)</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34326-268F-4DC1-8BA9-34B7AC747AC8}">
  <dimension ref="A1:J47"/>
  <sheetViews>
    <sheetView zoomScale="85" zoomScaleNormal="85" workbookViewId="0">
      <selection activeCell="C11" sqref="C11"/>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160</v>
      </c>
      <c r="E2" s="1"/>
      <c r="F2" s="1"/>
      <c r="G2" s="1"/>
      <c r="H2" s="1"/>
      <c r="I2" s="1"/>
      <c r="J2" s="1"/>
    </row>
    <row r="3" spans="1:10" ht="15.6" x14ac:dyDescent="0.3">
      <c r="A3" s="1"/>
      <c r="B3" s="1"/>
      <c r="C3" s="2" t="s">
        <v>2</v>
      </c>
      <c r="D3" s="2" t="str">
        <f>LEFT($A$11,FIND("_",$A$11)-1)</f>
        <v>LSB</v>
      </c>
      <c r="E3" s="1"/>
      <c r="F3" s="1"/>
      <c r="G3" s="1"/>
      <c r="H3" s="1"/>
      <c r="I3" s="1"/>
      <c r="J3" s="1"/>
    </row>
    <row r="4" spans="1:10" ht="15.6" x14ac:dyDescent="0.3">
      <c r="A4" s="1"/>
      <c r="B4" s="1"/>
      <c r="C4" s="2" t="s">
        <v>3</v>
      </c>
      <c r="D4" s="2">
        <f>COUNTIF(H:H,"P")</f>
        <v>37</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37</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87.2" x14ac:dyDescent="0.25">
      <c r="A11" s="4" t="s">
        <v>161</v>
      </c>
      <c r="B11" s="5" t="s">
        <v>17</v>
      </c>
      <c r="C11" s="5" t="s">
        <v>178</v>
      </c>
      <c r="D11" s="5" t="s">
        <v>179</v>
      </c>
      <c r="E11" s="6" t="s">
        <v>18</v>
      </c>
      <c r="F11" s="6"/>
      <c r="G11" s="6"/>
      <c r="H11" s="6" t="str">
        <f t="shared" ref="H11:H16" si="0">IF(ISBLANK(G11),IF(ISBLANK(F11),IF(ISBLANK(E11),"",E11),F11),G11)</f>
        <v>P</v>
      </c>
      <c r="I11" s="5"/>
      <c r="J11" s="5"/>
    </row>
    <row r="12" spans="1:10" ht="78" x14ac:dyDescent="0.25">
      <c r="A12" s="4" t="s">
        <v>162</v>
      </c>
      <c r="B12" s="5" t="s">
        <v>24</v>
      </c>
      <c r="C12" s="5" t="s">
        <v>87</v>
      </c>
      <c r="D12" s="5" t="s">
        <v>88</v>
      </c>
      <c r="E12" s="6" t="s">
        <v>18</v>
      </c>
      <c r="F12" s="6"/>
      <c r="G12" s="6"/>
      <c r="H12" s="6" t="str">
        <f t="shared" si="0"/>
        <v>P</v>
      </c>
      <c r="I12" s="5"/>
      <c r="J12" s="5"/>
    </row>
    <row r="13" spans="1:10" ht="31.2" x14ac:dyDescent="0.25">
      <c r="A13" s="4" t="s">
        <v>163</v>
      </c>
      <c r="B13" s="5" t="s">
        <v>28</v>
      </c>
      <c r="C13" s="5" t="s">
        <v>29</v>
      </c>
      <c r="D13" s="5" t="s">
        <v>30</v>
      </c>
      <c r="E13" s="6" t="s">
        <v>18</v>
      </c>
      <c r="F13" s="6"/>
      <c r="G13" s="6"/>
      <c r="H13" s="6" t="str">
        <f t="shared" si="0"/>
        <v>P</v>
      </c>
      <c r="I13" s="5"/>
      <c r="J13" s="5"/>
    </row>
    <row r="14" spans="1:10" ht="46.8" x14ac:dyDescent="0.25">
      <c r="A14" s="4" t="s">
        <v>164</v>
      </c>
      <c r="B14" s="5" t="s">
        <v>32</v>
      </c>
      <c r="C14" s="5" t="s">
        <v>33</v>
      </c>
      <c r="D14" s="5" t="s">
        <v>34</v>
      </c>
      <c r="E14" s="6" t="s">
        <v>18</v>
      </c>
      <c r="F14" s="6"/>
      <c r="G14" s="6"/>
      <c r="H14" s="6" t="str">
        <f t="shared" si="0"/>
        <v>P</v>
      </c>
      <c r="I14" s="5"/>
      <c r="J14" s="5"/>
    </row>
    <row r="15" spans="1:10" ht="31.2" x14ac:dyDescent="0.25">
      <c r="A15" s="4" t="s">
        <v>165</v>
      </c>
      <c r="B15" s="5" t="s">
        <v>36</v>
      </c>
      <c r="C15" s="5" t="s">
        <v>37</v>
      </c>
      <c r="D15" s="5" t="s">
        <v>38</v>
      </c>
      <c r="E15" s="6" t="s">
        <v>18</v>
      </c>
      <c r="F15" s="6"/>
      <c r="G15" s="6"/>
      <c r="H15" s="6" t="str">
        <f t="shared" si="0"/>
        <v>P</v>
      </c>
      <c r="I15" s="5"/>
      <c r="J15" s="5"/>
    </row>
    <row r="16" spans="1:10" ht="15.6" x14ac:dyDescent="0.25">
      <c r="A16" s="4" t="s">
        <v>166</v>
      </c>
      <c r="B16" s="5" t="s">
        <v>180</v>
      </c>
      <c r="C16" s="5" t="s">
        <v>41</v>
      </c>
      <c r="D16" s="5" t="s">
        <v>42</v>
      </c>
      <c r="E16" s="6" t="s">
        <v>18</v>
      </c>
      <c r="F16" s="6"/>
      <c r="G16" s="6"/>
      <c r="H16" s="6" t="str">
        <f t="shared" si="0"/>
        <v>P</v>
      </c>
      <c r="I16" s="5"/>
      <c r="J16" s="5"/>
    </row>
    <row r="17" spans="1:10" ht="31.2" x14ac:dyDescent="0.25">
      <c r="A17" s="4" t="s">
        <v>167</v>
      </c>
      <c r="B17" s="5" t="s">
        <v>181</v>
      </c>
      <c r="C17" s="5" t="s">
        <v>41</v>
      </c>
      <c r="D17" s="5" t="s">
        <v>42</v>
      </c>
      <c r="E17" s="6" t="s">
        <v>18</v>
      </c>
      <c r="F17" s="6"/>
      <c r="G17" s="6"/>
      <c r="H17" s="6" t="str">
        <f t="shared" ref="H17:H19" si="1">IF(ISBLANK(G17),IF(ISBLANK(F17),IF(ISBLANK(E17),"",E17),F17),G17)</f>
        <v>P</v>
      </c>
      <c r="I17" s="5"/>
      <c r="J17" s="5"/>
    </row>
    <row r="18" spans="1:10" ht="15.6" x14ac:dyDescent="0.25">
      <c r="A18" s="4" t="s">
        <v>168</v>
      </c>
      <c r="B18" s="5" t="s">
        <v>182</v>
      </c>
      <c r="C18" s="5" t="s">
        <v>41</v>
      </c>
      <c r="D18" s="5" t="s">
        <v>42</v>
      </c>
      <c r="E18" s="6" t="s">
        <v>18</v>
      </c>
      <c r="F18" s="6"/>
      <c r="G18" s="6"/>
      <c r="H18" s="6" t="str">
        <f t="shared" si="1"/>
        <v>P</v>
      </c>
      <c r="I18" s="5"/>
      <c r="J18" s="5"/>
    </row>
    <row r="19" spans="1:10" ht="15.6" x14ac:dyDescent="0.25">
      <c r="A19" s="4" t="s">
        <v>169</v>
      </c>
      <c r="B19" s="5" t="s">
        <v>183</v>
      </c>
      <c r="C19" s="5" t="s">
        <v>41</v>
      </c>
      <c r="D19" s="5" t="s">
        <v>42</v>
      </c>
      <c r="E19" s="6" t="s">
        <v>18</v>
      </c>
      <c r="F19" s="6"/>
      <c r="G19" s="6"/>
      <c r="H19" s="6" t="str">
        <f t="shared" si="1"/>
        <v>P</v>
      </c>
      <c r="I19" s="5"/>
      <c r="J19" s="5"/>
    </row>
    <row r="20" spans="1:10" ht="15.6" x14ac:dyDescent="0.25">
      <c r="A20" s="4" t="s">
        <v>170</v>
      </c>
      <c r="B20" s="5" t="s">
        <v>184</v>
      </c>
      <c r="C20" s="5" t="s">
        <v>41</v>
      </c>
      <c r="D20" s="5" t="s">
        <v>42</v>
      </c>
      <c r="E20" s="6" t="s">
        <v>18</v>
      </c>
      <c r="F20" s="6"/>
      <c r="G20" s="6"/>
      <c r="H20" s="6" t="str">
        <f t="shared" ref="H20" si="2">IF(ISBLANK(G20),IF(ISBLANK(F20),IF(ISBLANK(E20),"",E20),F20),G20)</f>
        <v>P</v>
      </c>
      <c r="I20" s="5"/>
      <c r="J20" s="5"/>
    </row>
    <row r="21" spans="1:10" ht="31.2" x14ac:dyDescent="0.25">
      <c r="A21" s="4" t="s">
        <v>171</v>
      </c>
      <c r="B21" s="5" t="s">
        <v>185</v>
      </c>
      <c r="C21" s="5" t="s">
        <v>186</v>
      </c>
      <c r="D21" s="5" t="s">
        <v>187</v>
      </c>
      <c r="E21" s="6" t="s">
        <v>18</v>
      </c>
      <c r="F21" s="6"/>
      <c r="G21" s="6"/>
      <c r="H21" s="6" t="str">
        <f t="shared" ref="H21" si="3">IF(ISBLANK(G21),IF(ISBLANK(F21),IF(ISBLANK(E21),"",E21),F21),G21)</f>
        <v>P</v>
      </c>
      <c r="I21" s="5"/>
      <c r="J21" s="5"/>
    </row>
    <row r="22" spans="1:10" ht="31.2" x14ac:dyDescent="0.25">
      <c r="A22" s="4" t="s">
        <v>172</v>
      </c>
      <c r="B22" s="5" t="s">
        <v>188</v>
      </c>
      <c r="C22" s="5" t="s">
        <v>189</v>
      </c>
      <c r="D22" s="5" t="s">
        <v>190</v>
      </c>
      <c r="E22" s="6" t="s">
        <v>18</v>
      </c>
      <c r="F22" s="6"/>
      <c r="G22" s="6"/>
      <c r="H22" s="6" t="str">
        <f t="shared" ref="H22:H23" si="4">IF(ISBLANK(G22),IF(ISBLANK(F22),IF(ISBLANK(E22),"",E22),F22),G22)</f>
        <v>P</v>
      </c>
      <c r="I22" s="5"/>
      <c r="J22" s="5"/>
    </row>
    <row r="23" spans="1:10" ht="31.2" x14ac:dyDescent="0.25">
      <c r="A23" s="4" t="s">
        <v>173</v>
      </c>
      <c r="B23" s="5" t="s">
        <v>191</v>
      </c>
      <c r="C23" s="5" t="s">
        <v>193</v>
      </c>
      <c r="D23" s="5" t="s">
        <v>195</v>
      </c>
      <c r="E23" s="6" t="s">
        <v>18</v>
      </c>
      <c r="F23" s="6"/>
      <c r="G23" s="6"/>
      <c r="H23" s="6" t="str">
        <f t="shared" si="4"/>
        <v>P</v>
      </c>
      <c r="I23" s="5"/>
      <c r="J23" s="5"/>
    </row>
    <row r="24" spans="1:10" ht="31.2" x14ac:dyDescent="0.25">
      <c r="A24" s="4" t="s">
        <v>174</v>
      </c>
      <c r="B24" s="5" t="s">
        <v>192</v>
      </c>
      <c r="C24" s="5" t="s">
        <v>194</v>
      </c>
      <c r="D24" s="5" t="s">
        <v>196</v>
      </c>
      <c r="E24" s="6" t="s">
        <v>18</v>
      </c>
      <c r="F24" s="6"/>
      <c r="G24" s="6"/>
      <c r="H24" s="6" t="str">
        <f t="shared" ref="H24:H25" si="5">IF(ISBLANK(G24),IF(ISBLANK(F24),IF(ISBLANK(E24),"",E24),F24),G24)</f>
        <v>P</v>
      </c>
      <c r="I24" s="5"/>
      <c r="J24" s="5"/>
    </row>
    <row r="25" spans="1:10" ht="31.2" x14ac:dyDescent="0.25">
      <c r="A25" s="4" t="s">
        <v>175</v>
      </c>
      <c r="B25" s="5" t="s">
        <v>197</v>
      </c>
      <c r="C25" s="5" t="s">
        <v>199</v>
      </c>
      <c r="D25" s="5" t="s">
        <v>201</v>
      </c>
      <c r="E25" s="6" t="s">
        <v>18</v>
      </c>
      <c r="F25" s="6"/>
      <c r="G25" s="6"/>
      <c r="H25" s="6" t="str">
        <f t="shared" si="5"/>
        <v>P</v>
      </c>
      <c r="I25" s="5"/>
      <c r="J25" s="5"/>
    </row>
    <row r="26" spans="1:10" ht="31.2" x14ac:dyDescent="0.25">
      <c r="A26" s="4" t="s">
        <v>176</v>
      </c>
      <c r="B26" s="5" t="s">
        <v>198</v>
      </c>
      <c r="C26" s="5" t="s">
        <v>200</v>
      </c>
      <c r="D26" s="5" t="s">
        <v>202</v>
      </c>
      <c r="E26" s="6" t="s">
        <v>18</v>
      </c>
      <c r="F26" s="6"/>
      <c r="G26" s="6"/>
      <c r="H26" s="6" t="str">
        <f t="shared" ref="H26:H27" si="6">IF(ISBLANK(G26),IF(ISBLANK(F26),IF(ISBLANK(E26),"",E26),F26),G26)</f>
        <v>P</v>
      </c>
      <c r="I26" s="5"/>
      <c r="J26" s="5"/>
    </row>
    <row r="27" spans="1:10" ht="31.2" x14ac:dyDescent="0.25">
      <c r="A27" s="4" t="s">
        <v>177</v>
      </c>
      <c r="B27" s="5" t="s">
        <v>204</v>
      </c>
      <c r="C27" s="5" t="s">
        <v>206</v>
      </c>
      <c r="D27" s="5" t="s">
        <v>208</v>
      </c>
      <c r="E27" s="6" t="s">
        <v>18</v>
      </c>
      <c r="F27" s="6"/>
      <c r="G27" s="6"/>
      <c r="H27" s="6" t="str">
        <f t="shared" si="6"/>
        <v>P</v>
      </c>
      <c r="I27" s="5"/>
      <c r="J27" s="5"/>
    </row>
    <row r="28" spans="1:10" ht="31.2" x14ac:dyDescent="0.25">
      <c r="A28" s="4" t="s">
        <v>203</v>
      </c>
      <c r="B28" s="5" t="s">
        <v>205</v>
      </c>
      <c r="C28" s="5" t="s">
        <v>207</v>
      </c>
      <c r="D28" s="5" t="s">
        <v>209</v>
      </c>
      <c r="E28" s="6" t="s">
        <v>18</v>
      </c>
      <c r="F28" s="6"/>
      <c r="G28" s="6"/>
      <c r="H28" s="6" t="str">
        <f t="shared" ref="H28:H29" si="7">IF(ISBLANK(G28),IF(ISBLANK(F28),IF(ISBLANK(E28),"",E28),F28),G28)</f>
        <v>P</v>
      </c>
      <c r="I28" s="5"/>
      <c r="J28" s="5"/>
    </row>
    <row r="29" spans="1:10" ht="31.2" x14ac:dyDescent="0.25">
      <c r="A29" s="4" t="s">
        <v>210</v>
      </c>
      <c r="B29" s="5" t="s">
        <v>212</v>
      </c>
      <c r="C29" s="5" t="s">
        <v>214</v>
      </c>
      <c r="D29" s="5" t="s">
        <v>216</v>
      </c>
      <c r="E29" s="6" t="s">
        <v>18</v>
      </c>
      <c r="F29" s="6"/>
      <c r="G29" s="6"/>
      <c r="H29" s="6" t="str">
        <f t="shared" si="7"/>
        <v>P</v>
      </c>
      <c r="I29" s="5"/>
      <c r="J29" s="5"/>
    </row>
    <row r="30" spans="1:10" ht="31.2" x14ac:dyDescent="0.25">
      <c r="A30" s="4" t="s">
        <v>211</v>
      </c>
      <c r="B30" s="5" t="s">
        <v>213</v>
      </c>
      <c r="C30" s="5" t="s">
        <v>215</v>
      </c>
      <c r="D30" s="5" t="s">
        <v>217</v>
      </c>
      <c r="E30" s="6" t="s">
        <v>18</v>
      </c>
      <c r="F30" s="6"/>
      <c r="G30" s="6"/>
      <c r="H30" s="6" t="str">
        <f t="shared" ref="H30" si="8">IF(ISBLANK(G30),IF(ISBLANK(F30),IF(ISBLANK(E30),"",E30),F30),G30)</f>
        <v>P</v>
      </c>
      <c r="I30" s="5"/>
      <c r="J30" s="5"/>
    </row>
    <row r="31" spans="1:10" ht="171.6" x14ac:dyDescent="0.25">
      <c r="A31" s="4" t="s">
        <v>218</v>
      </c>
      <c r="B31" s="5" t="s">
        <v>227</v>
      </c>
      <c r="C31" s="5" t="s">
        <v>178</v>
      </c>
      <c r="D31" s="5" t="s">
        <v>225</v>
      </c>
      <c r="E31" s="6" t="s">
        <v>18</v>
      </c>
      <c r="F31" s="6"/>
      <c r="G31" s="6"/>
      <c r="H31" s="6" t="str">
        <f t="shared" ref="H31" si="9">IF(ISBLANK(G31),IF(ISBLANK(F31),IF(ISBLANK(E31),"",E31),F31),G31)</f>
        <v>P</v>
      </c>
      <c r="I31" s="5"/>
      <c r="J31" s="5"/>
    </row>
    <row r="32" spans="1:10" ht="78" x14ac:dyDescent="0.25">
      <c r="A32" s="4" t="s">
        <v>222</v>
      </c>
      <c r="B32" s="5" t="s">
        <v>224</v>
      </c>
      <c r="C32" s="5" t="s">
        <v>87</v>
      </c>
      <c r="D32" s="5" t="s">
        <v>88</v>
      </c>
      <c r="E32" s="6" t="s">
        <v>18</v>
      </c>
      <c r="F32" s="6"/>
      <c r="G32" s="6"/>
      <c r="H32" s="6" t="str">
        <f t="shared" ref="H32" si="10">IF(ISBLANK(G32),IF(ISBLANK(F32),IF(ISBLANK(E32),"",E32),F32),G32)</f>
        <v>P</v>
      </c>
      <c r="I32" s="5"/>
      <c r="J32" s="5"/>
    </row>
    <row r="33" spans="1:10" ht="31.2" x14ac:dyDescent="0.25">
      <c r="A33" s="4" t="s">
        <v>223</v>
      </c>
      <c r="B33" s="5" t="s">
        <v>219</v>
      </c>
      <c r="C33" s="5" t="s">
        <v>220</v>
      </c>
      <c r="D33" s="5" t="s">
        <v>221</v>
      </c>
      <c r="E33" s="6" t="s">
        <v>18</v>
      </c>
      <c r="F33" s="6"/>
      <c r="G33" s="6"/>
      <c r="H33" s="6" t="str">
        <f t="shared" ref="H33" si="11">IF(ISBLANK(G33),IF(ISBLANK(F33),IF(ISBLANK(E33),"",E33),F33),G33)</f>
        <v>P</v>
      </c>
      <c r="I33" s="5"/>
      <c r="J33" s="5"/>
    </row>
    <row r="34" spans="1:10" ht="31.2" x14ac:dyDescent="0.25">
      <c r="A34" s="4" t="s">
        <v>226</v>
      </c>
      <c r="B34" s="5" t="s">
        <v>228</v>
      </c>
      <c r="C34" s="5" t="s">
        <v>229</v>
      </c>
      <c r="D34" s="5" t="s">
        <v>42</v>
      </c>
      <c r="E34" s="6" t="s">
        <v>18</v>
      </c>
      <c r="F34" s="6"/>
      <c r="G34" s="6"/>
      <c r="H34" s="6" t="str">
        <f t="shared" ref="H34" si="12">IF(ISBLANK(G34),IF(ISBLANK(F34),IF(ISBLANK(E34),"",E34),F34),G34)</f>
        <v>P</v>
      </c>
      <c r="I34" s="5"/>
      <c r="J34" s="5"/>
    </row>
    <row r="35" spans="1:10" ht="31.2" x14ac:dyDescent="0.25">
      <c r="A35" s="4" t="s">
        <v>230</v>
      </c>
      <c r="B35" s="5" t="s">
        <v>233</v>
      </c>
      <c r="C35" s="5" t="s">
        <v>229</v>
      </c>
      <c r="D35" s="5" t="s">
        <v>42</v>
      </c>
      <c r="E35" s="6" t="s">
        <v>18</v>
      </c>
      <c r="F35" s="6"/>
      <c r="G35" s="6"/>
      <c r="H35" s="6" t="str">
        <f t="shared" ref="H35:H38" si="13">IF(ISBLANK(G35),IF(ISBLANK(F35),IF(ISBLANK(E35),"",E35),F35),G35)</f>
        <v>P</v>
      </c>
      <c r="I35" s="5"/>
      <c r="J35" s="5"/>
    </row>
    <row r="36" spans="1:10" ht="31.2" x14ac:dyDescent="0.25">
      <c r="A36" s="4" t="s">
        <v>231</v>
      </c>
      <c r="B36" s="5" t="s">
        <v>234</v>
      </c>
      <c r="C36" s="5" t="s">
        <v>229</v>
      </c>
      <c r="D36" s="5" t="s">
        <v>42</v>
      </c>
      <c r="E36" s="6" t="s">
        <v>18</v>
      </c>
      <c r="F36" s="6"/>
      <c r="G36" s="6"/>
      <c r="H36" s="6" t="str">
        <f t="shared" si="13"/>
        <v>P</v>
      </c>
      <c r="I36" s="5"/>
      <c r="J36" s="5"/>
    </row>
    <row r="37" spans="1:10" ht="31.2" x14ac:dyDescent="0.25">
      <c r="A37" s="4" t="s">
        <v>232</v>
      </c>
      <c r="B37" s="5" t="s">
        <v>235</v>
      </c>
      <c r="C37" s="5" t="s">
        <v>229</v>
      </c>
      <c r="D37" s="5" t="s">
        <v>42</v>
      </c>
      <c r="E37" s="6" t="s">
        <v>18</v>
      </c>
      <c r="F37" s="6"/>
      <c r="G37" s="6"/>
      <c r="H37" s="6" t="str">
        <f t="shared" si="13"/>
        <v>P</v>
      </c>
      <c r="I37" s="5"/>
      <c r="J37" s="5"/>
    </row>
    <row r="38" spans="1:10" ht="31.2" x14ac:dyDescent="0.25">
      <c r="A38" s="4" t="s">
        <v>236</v>
      </c>
      <c r="B38" s="5" t="s">
        <v>245</v>
      </c>
      <c r="C38" s="5" t="s">
        <v>229</v>
      </c>
      <c r="D38" s="5" t="s">
        <v>42</v>
      </c>
      <c r="E38" s="6" t="s">
        <v>18</v>
      </c>
      <c r="F38" s="6"/>
      <c r="G38" s="6"/>
      <c r="H38" s="6" t="str">
        <f t="shared" si="13"/>
        <v>P</v>
      </c>
      <c r="I38" s="5"/>
      <c r="J38" s="5"/>
    </row>
    <row r="39" spans="1:10" ht="31.2" x14ac:dyDescent="0.25">
      <c r="A39" s="4" t="s">
        <v>240</v>
      </c>
      <c r="B39" s="5" t="s">
        <v>237</v>
      </c>
      <c r="C39" s="5" t="s">
        <v>238</v>
      </c>
      <c r="D39" s="5" t="s">
        <v>239</v>
      </c>
      <c r="E39" s="6" t="s">
        <v>18</v>
      </c>
      <c r="F39" s="6"/>
      <c r="G39" s="6"/>
      <c r="H39" s="6" t="str">
        <f t="shared" ref="H39" si="14">IF(ISBLANK(G39),IF(ISBLANK(F39),IF(ISBLANK(E39),"",E39),F39),G39)</f>
        <v>P</v>
      </c>
      <c r="I39" s="5"/>
      <c r="J39" s="5"/>
    </row>
    <row r="40" spans="1:10" ht="31.2" x14ac:dyDescent="0.25">
      <c r="A40" s="4" t="s">
        <v>244</v>
      </c>
      <c r="B40" s="5" t="s">
        <v>241</v>
      </c>
      <c r="C40" s="5" t="s">
        <v>242</v>
      </c>
      <c r="D40" s="5" t="s">
        <v>243</v>
      </c>
      <c r="E40" s="6" t="s">
        <v>18</v>
      </c>
      <c r="F40" s="6"/>
      <c r="G40" s="6"/>
      <c r="H40" s="6" t="str">
        <f t="shared" ref="H40:H41" si="15">IF(ISBLANK(G40),IF(ISBLANK(F40),IF(ISBLANK(E40),"",E40),F40),G40)</f>
        <v>P</v>
      </c>
      <c r="I40" s="5"/>
      <c r="J40" s="5"/>
    </row>
    <row r="41" spans="1:10" ht="31.2" x14ac:dyDescent="0.25">
      <c r="A41" s="4" t="s">
        <v>246</v>
      </c>
      <c r="B41" s="5" t="s">
        <v>248</v>
      </c>
      <c r="C41" s="5" t="s">
        <v>250</v>
      </c>
      <c r="D41" s="5" t="s">
        <v>252</v>
      </c>
      <c r="E41" s="6" t="s">
        <v>18</v>
      </c>
      <c r="F41" s="6"/>
      <c r="G41" s="6"/>
      <c r="H41" s="6" t="str">
        <f t="shared" si="15"/>
        <v>P</v>
      </c>
      <c r="I41" s="5"/>
      <c r="J41" s="5"/>
    </row>
    <row r="42" spans="1:10" ht="31.2" x14ac:dyDescent="0.25">
      <c r="A42" s="4" t="s">
        <v>247</v>
      </c>
      <c r="B42" s="5" t="s">
        <v>249</v>
      </c>
      <c r="C42" s="5" t="s">
        <v>251</v>
      </c>
      <c r="D42" s="5" t="s">
        <v>253</v>
      </c>
      <c r="E42" s="6" t="s">
        <v>18</v>
      </c>
      <c r="F42" s="6"/>
      <c r="G42" s="6"/>
      <c r="H42" s="6" t="str">
        <f t="shared" ref="H42:H43" si="16">IF(ISBLANK(G42),IF(ISBLANK(F42),IF(ISBLANK(E42),"",E42),F42),G42)</f>
        <v>P</v>
      </c>
      <c r="I42" s="5"/>
      <c r="J42" s="5"/>
    </row>
    <row r="43" spans="1:10" ht="31.2" x14ac:dyDescent="0.25">
      <c r="A43" s="4" t="s">
        <v>254</v>
      </c>
      <c r="B43" s="5" t="s">
        <v>256</v>
      </c>
      <c r="C43" s="5" t="s">
        <v>258</v>
      </c>
      <c r="D43" s="5" t="s">
        <v>260</v>
      </c>
      <c r="E43" s="6" t="s">
        <v>18</v>
      </c>
      <c r="F43" s="6"/>
      <c r="G43" s="6"/>
      <c r="H43" s="6" t="str">
        <f t="shared" si="16"/>
        <v>P</v>
      </c>
      <c r="I43" s="5"/>
      <c r="J43" s="5"/>
    </row>
    <row r="44" spans="1:10" ht="31.2" x14ac:dyDescent="0.25">
      <c r="A44" s="4" t="s">
        <v>255</v>
      </c>
      <c r="B44" s="5" t="s">
        <v>257</v>
      </c>
      <c r="C44" s="5" t="s">
        <v>259</v>
      </c>
      <c r="D44" s="5" t="s">
        <v>261</v>
      </c>
      <c r="E44" s="6" t="s">
        <v>18</v>
      </c>
      <c r="F44" s="6"/>
      <c r="G44" s="6"/>
      <c r="H44" s="6" t="str">
        <f t="shared" ref="H44:H45" si="17">IF(ISBLANK(G44),IF(ISBLANK(F44),IF(ISBLANK(E44),"",E44),F44),G44)</f>
        <v>P</v>
      </c>
      <c r="I44" s="5"/>
      <c r="J44" s="5"/>
    </row>
    <row r="45" spans="1:10" ht="31.2" x14ac:dyDescent="0.25">
      <c r="A45" s="4" t="s">
        <v>262</v>
      </c>
      <c r="B45" s="5" t="s">
        <v>264</v>
      </c>
      <c r="C45" s="5" t="s">
        <v>266</v>
      </c>
      <c r="D45" s="5" t="s">
        <v>268</v>
      </c>
      <c r="E45" s="6" t="s">
        <v>18</v>
      </c>
      <c r="F45" s="6"/>
      <c r="G45" s="6"/>
      <c r="H45" s="6" t="str">
        <f t="shared" si="17"/>
        <v>P</v>
      </c>
      <c r="I45" s="5"/>
      <c r="J45" s="5"/>
    </row>
    <row r="46" spans="1:10" ht="31.2" x14ac:dyDescent="0.25">
      <c r="A46" s="4" t="s">
        <v>263</v>
      </c>
      <c r="B46" s="5" t="s">
        <v>265</v>
      </c>
      <c r="C46" s="5" t="s">
        <v>267</v>
      </c>
      <c r="D46" s="5" t="s">
        <v>269</v>
      </c>
      <c r="E46" s="6" t="s">
        <v>18</v>
      </c>
      <c r="F46" s="6"/>
      <c r="G46" s="6"/>
      <c r="H46" s="6" t="str">
        <f t="shared" ref="H46" si="18">IF(ISBLANK(G46),IF(ISBLANK(F46),IF(ISBLANK(E46),"",E46),F46),G46)</f>
        <v>P</v>
      </c>
      <c r="I46" s="5"/>
      <c r="J46" s="5"/>
    </row>
    <row r="47" spans="1:10" ht="31.2" x14ac:dyDescent="0.25">
      <c r="A47" s="4" t="s">
        <v>270</v>
      </c>
      <c r="B47" s="5" t="s">
        <v>245</v>
      </c>
      <c r="C47" s="5" t="s">
        <v>271</v>
      </c>
      <c r="D47" s="5" t="s">
        <v>272</v>
      </c>
      <c r="E47" s="6" t="s">
        <v>18</v>
      </c>
      <c r="F47" s="6"/>
      <c r="G47" s="6"/>
      <c r="H47" s="6" t="str">
        <f t="shared" ref="H47" si="19">IF(ISBLANK(G47),IF(ISBLANK(F47),IF(ISBLANK(E47),"",E47),F47),G47)</f>
        <v>P</v>
      </c>
      <c r="I47" s="5"/>
      <c r="J47" s="5"/>
    </row>
  </sheetData>
  <mergeCells count="1">
    <mergeCell ref="C1:D1"/>
  </mergeCells>
  <phoneticPr fontId="2" type="noConversion"/>
  <conditionalFormatting sqref="H11:H47">
    <cfRule type="expression" dxfId="65" priority="2">
      <formula>IF(H11="F",TRUE,FALSE)</formula>
    </cfRule>
    <cfRule type="expression" dxfId="64" priority="3">
      <formula>IF(H11="P",TRUE,FALSE)</formula>
    </cfRule>
  </conditionalFormatting>
  <conditionalFormatting sqref="H11:H47">
    <cfRule type="expression" dxfId="63" priority="1">
      <formula>IF(H11="PE",TRUE,FALSE)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9D159-135D-424C-8F9E-69B4D028EB6A}">
  <dimension ref="A1:J97"/>
  <sheetViews>
    <sheetView topLeftCell="A3" zoomScale="85" zoomScaleNormal="85" workbookViewId="0">
      <selection activeCell="D12" sqref="D12"/>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273</v>
      </c>
      <c r="E2" s="1"/>
      <c r="F2" s="1"/>
      <c r="G2" s="1"/>
      <c r="H2" s="1"/>
      <c r="I2" s="1"/>
      <c r="J2" s="1"/>
    </row>
    <row r="3" spans="1:10" ht="15.6" x14ac:dyDescent="0.3">
      <c r="A3" s="1"/>
      <c r="B3" s="1"/>
      <c r="C3" s="2" t="s">
        <v>2</v>
      </c>
      <c r="D3" s="2" t="str">
        <f>LEFT($A$11,FIND("_",$A$11)-1)</f>
        <v>TTKS</v>
      </c>
      <c r="E3" s="1"/>
      <c r="F3" s="1"/>
      <c r="G3" s="1"/>
      <c r="H3" s="1"/>
      <c r="I3" s="1"/>
      <c r="J3" s="1"/>
    </row>
    <row r="4" spans="1:10" ht="15.6" x14ac:dyDescent="0.3">
      <c r="A4" s="1"/>
      <c r="B4" s="1"/>
      <c r="C4" s="2" t="s">
        <v>3</v>
      </c>
      <c r="D4" s="2">
        <f>COUNTIF(H:H,"P")</f>
        <v>87</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87</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56" x14ac:dyDescent="0.25">
      <c r="A11" s="4" t="s">
        <v>274</v>
      </c>
      <c r="B11" s="5" t="s">
        <v>17</v>
      </c>
      <c r="C11" s="5" t="s">
        <v>751</v>
      </c>
      <c r="D11" s="5" t="s">
        <v>752</v>
      </c>
      <c r="E11" s="6" t="s">
        <v>18</v>
      </c>
      <c r="F11" s="6"/>
      <c r="G11" s="6"/>
      <c r="H11" s="6" t="str">
        <f t="shared" ref="H11:H14" si="0">IF(ISBLANK(G11),IF(ISBLANK(F11),IF(ISBLANK(E11),"",E11),F11),G11)</f>
        <v>P</v>
      </c>
      <c r="I11" s="5"/>
      <c r="J11" s="5"/>
    </row>
    <row r="12" spans="1:10" ht="156" x14ac:dyDescent="0.25">
      <c r="A12" s="4" t="s">
        <v>275</v>
      </c>
      <c r="B12" s="5" t="s">
        <v>24</v>
      </c>
      <c r="C12" s="5" t="s">
        <v>312</v>
      </c>
      <c r="D12" s="5" t="s">
        <v>311</v>
      </c>
      <c r="E12" s="6" t="s">
        <v>18</v>
      </c>
      <c r="F12" s="6"/>
      <c r="G12" s="6"/>
      <c r="H12" s="6" t="str">
        <f t="shared" si="0"/>
        <v>P</v>
      </c>
      <c r="I12" s="5"/>
      <c r="J12" s="5"/>
    </row>
    <row r="13" spans="1:10" ht="31.2" x14ac:dyDescent="0.25">
      <c r="A13" s="4" t="s">
        <v>276</v>
      </c>
      <c r="B13" s="5" t="s">
        <v>28</v>
      </c>
      <c r="C13" s="5" t="s">
        <v>29</v>
      </c>
      <c r="D13" s="5" t="s">
        <v>30</v>
      </c>
      <c r="E13" s="6" t="s">
        <v>18</v>
      </c>
      <c r="F13" s="6"/>
      <c r="G13" s="6"/>
      <c r="H13" s="6" t="str">
        <f t="shared" si="0"/>
        <v>P</v>
      </c>
      <c r="I13" s="5"/>
      <c r="J13" s="5"/>
    </row>
    <row r="14" spans="1:10" ht="46.8" x14ac:dyDescent="0.25">
      <c r="A14" s="4" t="s">
        <v>277</v>
      </c>
      <c r="B14" s="5" t="s">
        <v>32</v>
      </c>
      <c r="C14" s="5" t="s">
        <v>33</v>
      </c>
      <c r="D14" s="5" t="s">
        <v>34</v>
      </c>
      <c r="E14" s="6" t="s">
        <v>18</v>
      </c>
      <c r="F14" s="6"/>
      <c r="G14" s="6"/>
      <c r="H14" s="6" t="str">
        <f t="shared" si="0"/>
        <v>P</v>
      </c>
      <c r="I14" s="5"/>
      <c r="J14" s="5"/>
    </row>
    <row r="15" spans="1:10" ht="218.4" x14ac:dyDescent="0.25">
      <c r="A15" s="4" t="s">
        <v>278</v>
      </c>
      <c r="B15" s="5" t="s">
        <v>313</v>
      </c>
      <c r="C15" s="5" t="s">
        <v>178</v>
      </c>
      <c r="D15" s="5" t="s">
        <v>314</v>
      </c>
      <c r="E15" s="6" t="s">
        <v>18</v>
      </c>
      <c r="F15" s="6"/>
      <c r="G15" s="6"/>
      <c r="H15" s="6" t="str">
        <f t="shared" ref="H15" si="1">IF(ISBLANK(G15),IF(ISBLANK(F15),IF(ISBLANK(E15),"",E15),F15),G15)</f>
        <v>P</v>
      </c>
      <c r="I15" s="5"/>
      <c r="J15" s="5"/>
    </row>
    <row r="16" spans="1:10" ht="78" x14ac:dyDescent="0.25">
      <c r="A16" s="4" t="s">
        <v>279</v>
      </c>
      <c r="B16" s="5" t="s">
        <v>315</v>
      </c>
      <c r="C16" s="5" t="s">
        <v>87</v>
      </c>
      <c r="D16" s="5" t="s">
        <v>88</v>
      </c>
      <c r="E16" s="6" t="s">
        <v>18</v>
      </c>
      <c r="F16" s="6"/>
      <c r="G16" s="6"/>
      <c r="H16" s="6" t="str">
        <f t="shared" ref="H16:H17" si="2">IF(ISBLANK(G16),IF(ISBLANK(F16),IF(ISBLANK(E16),"",E16),F16),G16)</f>
        <v>P</v>
      </c>
      <c r="I16" s="5"/>
      <c r="J16" s="5"/>
    </row>
    <row r="17" spans="1:10" ht="15.6" x14ac:dyDescent="0.25">
      <c r="A17" s="4" t="s">
        <v>280</v>
      </c>
      <c r="B17" s="5" t="s">
        <v>316</v>
      </c>
      <c r="C17" s="5" t="s">
        <v>41</v>
      </c>
      <c r="D17" s="5" t="s">
        <v>42</v>
      </c>
      <c r="E17" s="6" t="s">
        <v>18</v>
      </c>
      <c r="F17" s="6"/>
      <c r="G17" s="6"/>
      <c r="H17" s="6" t="str">
        <f t="shared" si="2"/>
        <v>P</v>
      </c>
      <c r="I17" s="5"/>
      <c r="J17" s="5"/>
    </row>
    <row r="18" spans="1:10" ht="31.2" x14ac:dyDescent="0.25">
      <c r="A18" s="4" t="s">
        <v>281</v>
      </c>
      <c r="B18" s="5" t="s">
        <v>228</v>
      </c>
      <c r="C18" s="5" t="s">
        <v>41</v>
      </c>
      <c r="D18" s="5" t="s">
        <v>42</v>
      </c>
      <c r="E18" s="6" t="s">
        <v>18</v>
      </c>
      <c r="F18" s="6"/>
      <c r="G18" s="6"/>
      <c r="H18" s="6" t="str">
        <f t="shared" ref="H18:H22" si="3">IF(ISBLANK(G18),IF(ISBLANK(F18),IF(ISBLANK(E18),"",E18),F18),G18)</f>
        <v>P</v>
      </c>
      <c r="I18" s="5"/>
      <c r="J18" s="5"/>
    </row>
    <row r="19" spans="1:10" ht="31.2" x14ac:dyDescent="0.25">
      <c r="A19" s="4" t="s">
        <v>282</v>
      </c>
      <c r="B19" s="5" t="s">
        <v>317</v>
      </c>
      <c r="C19" s="5" t="s">
        <v>41</v>
      </c>
      <c r="D19" s="5" t="s">
        <v>42</v>
      </c>
      <c r="E19" s="6" t="s">
        <v>18</v>
      </c>
      <c r="F19" s="6"/>
      <c r="G19" s="6"/>
      <c r="H19" s="6" t="str">
        <f t="shared" si="3"/>
        <v>P</v>
      </c>
      <c r="I19" s="5"/>
      <c r="J19" s="5"/>
    </row>
    <row r="20" spans="1:10" ht="15.6" x14ac:dyDescent="0.25">
      <c r="A20" s="4" t="s">
        <v>283</v>
      </c>
      <c r="B20" s="5" t="s">
        <v>318</v>
      </c>
      <c r="C20" s="5" t="s">
        <v>41</v>
      </c>
      <c r="D20" s="5" t="s">
        <v>42</v>
      </c>
      <c r="E20" s="6" t="s">
        <v>18</v>
      </c>
      <c r="F20" s="6"/>
      <c r="G20" s="6"/>
      <c r="H20" s="6" t="str">
        <f t="shared" si="3"/>
        <v>P</v>
      </c>
      <c r="I20" s="5"/>
      <c r="J20" s="5"/>
    </row>
    <row r="21" spans="1:10" ht="31.2" x14ac:dyDescent="0.25">
      <c r="A21" s="4" t="s">
        <v>284</v>
      </c>
      <c r="B21" s="5" t="s">
        <v>319</v>
      </c>
      <c r="C21" s="5" t="s">
        <v>41</v>
      </c>
      <c r="D21" s="5" t="s">
        <v>42</v>
      </c>
      <c r="E21" s="6" t="s">
        <v>18</v>
      </c>
      <c r="F21" s="6"/>
      <c r="G21" s="6"/>
      <c r="H21" s="6" t="str">
        <f t="shared" si="3"/>
        <v>P</v>
      </c>
      <c r="I21" s="5"/>
      <c r="J21" s="5"/>
    </row>
    <row r="22" spans="1:10" ht="31.2" x14ac:dyDescent="0.25">
      <c r="A22" s="4" t="s">
        <v>285</v>
      </c>
      <c r="B22" s="5" t="s">
        <v>320</v>
      </c>
      <c r="C22" s="5" t="s">
        <v>41</v>
      </c>
      <c r="D22" s="5" t="s">
        <v>42</v>
      </c>
      <c r="E22" s="6" t="s">
        <v>18</v>
      </c>
      <c r="F22" s="6"/>
      <c r="G22" s="6"/>
      <c r="H22" s="6" t="str">
        <f t="shared" si="3"/>
        <v>P</v>
      </c>
      <c r="I22" s="5"/>
      <c r="J22" s="5"/>
    </row>
    <row r="23" spans="1:10" ht="31.2" x14ac:dyDescent="0.25">
      <c r="A23" s="4" t="s">
        <v>286</v>
      </c>
      <c r="B23" s="5" t="s">
        <v>321</v>
      </c>
      <c r="C23" s="5" t="s">
        <v>41</v>
      </c>
      <c r="D23" s="5" t="s">
        <v>42</v>
      </c>
      <c r="E23" s="6" t="s">
        <v>18</v>
      </c>
      <c r="F23" s="6"/>
      <c r="G23" s="6"/>
      <c r="H23" s="6" t="str">
        <f t="shared" ref="H23" si="4">IF(ISBLANK(G23),IF(ISBLANK(F23),IF(ISBLANK(E23),"",E23),F23),G23)</f>
        <v>P</v>
      </c>
      <c r="I23" s="5"/>
      <c r="J23" s="5"/>
    </row>
    <row r="24" spans="1:10" ht="15.6" x14ac:dyDescent="0.25">
      <c r="A24" s="4" t="s">
        <v>287</v>
      </c>
      <c r="B24" s="5" t="s">
        <v>322</v>
      </c>
      <c r="C24" s="5" t="s">
        <v>41</v>
      </c>
      <c r="D24" s="5" t="s">
        <v>42</v>
      </c>
      <c r="E24" s="6" t="s">
        <v>18</v>
      </c>
      <c r="F24" s="6"/>
      <c r="G24" s="6"/>
      <c r="H24" s="6" t="str">
        <f t="shared" ref="H24" si="5">IF(ISBLANK(G24),IF(ISBLANK(F24),IF(ISBLANK(E24),"",E24),F24),G24)</f>
        <v>P</v>
      </c>
      <c r="I24" s="5"/>
      <c r="J24" s="5"/>
    </row>
    <row r="25" spans="1:10" ht="15.6" x14ac:dyDescent="0.25">
      <c r="A25" s="4" t="s">
        <v>288</v>
      </c>
      <c r="B25" s="5" t="s">
        <v>323</v>
      </c>
      <c r="C25" s="5" t="s">
        <v>41</v>
      </c>
      <c r="D25" s="5" t="s">
        <v>42</v>
      </c>
      <c r="E25" s="6" t="s">
        <v>18</v>
      </c>
      <c r="F25" s="6"/>
      <c r="G25" s="6"/>
      <c r="H25" s="6" t="str">
        <f t="shared" ref="H25:H26" si="6">IF(ISBLANK(G25),IF(ISBLANK(F25),IF(ISBLANK(E25),"",E25),F25),G25)</f>
        <v>P</v>
      </c>
      <c r="I25" s="5"/>
      <c r="J25" s="5"/>
    </row>
    <row r="26" spans="1:10" ht="15.6" x14ac:dyDescent="0.25">
      <c r="A26" s="4" t="s">
        <v>289</v>
      </c>
      <c r="B26" s="5" t="s">
        <v>324</v>
      </c>
      <c r="C26" s="5" t="s">
        <v>41</v>
      </c>
      <c r="D26" s="5" t="s">
        <v>42</v>
      </c>
      <c r="E26" s="6" t="s">
        <v>18</v>
      </c>
      <c r="F26" s="6"/>
      <c r="G26" s="6"/>
      <c r="H26" s="6" t="str">
        <f t="shared" si="6"/>
        <v>P</v>
      </c>
      <c r="I26" s="5"/>
      <c r="J26" s="5"/>
    </row>
    <row r="27" spans="1:10" ht="31.2" x14ac:dyDescent="0.25">
      <c r="A27" s="4" t="s">
        <v>290</v>
      </c>
      <c r="B27" s="5" t="s">
        <v>325</v>
      </c>
      <c r="C27" s="5" t="s">
        <v>339</v>
      </c>
      <c r="D27" s="5" t="s">
        <v>366</v>
      </c>
      <c r="E27" s="6" t="s">
        <v>18</v>
      </c>
      <c r="F27" s="6"/>
      <c r="G27" s="6"/>
      <c r="H27" s="6" t="str">
        <f t="shared" ref="H27:H28" si="7">IF(ISBLANK(G27),IF(ISBLANK(F27),IF(ISBLANK(E27),"",E27),F27),G27)</f>
        <v>P</v>
      </c>
      <c r="I27" s="5"/>
      <c r="J27" s="5"/>
    </row>
    <row r="28" spans="1:10" ht="31.2" x14ac:dyDescent="0.25">
      <c r="A28" s="4" t="s">
        <v>291</v>
      </c>
      <c r="B28" s="5" t="s">
        <v>326</v>
      </c>
      <c r="C28" s="5" t="s">
        <v>340</v>
      </c>
      <c r="D28" s="5" t="s">
        <v>365</v>
      </c>
      <c r="E28" s="6" t="s">
        <v>18</v>
      </c>
      <c r="F28" s="6"/>
      <c r="G28" s="6"/>
      <c r="H28" s="6" t="str">
        <f t="shared" si="7"/>
        <v>P</v>
      </c>
      <c r="I28" s="5"/>
      <c r="J28" s="5"/>
    </row>
    <row r="29" spans="1:10" ht="31.2" x14ac:dyDescent="0.25">
      <c r="A29" s="4" t="s">
        <v>292</v>
      </c>
      <c r="B29" s="5" t="s">
        <v>327</v>
      </c>
      <c r="C29" s="5" t="s">
        <v>341</v>
      </c>
      <c r="D29" s="5" t="s">
        <v>364</v>
      </c>
      <c r="E29" s="6" t="s">
        <v>18</v>
      </c>
      <c r="F29" s="6"/>
      <c r="G29" s="6"/>
      <c r="H29" s="6" t="str">
        <f t="shared" ref="H29:H30" si="8">IF(ISBLANK(G29),IF(ISBLANK(F29),IF(ISBLANK(E29),"",E29),F29),G29)</f>
        <v>P</v>
      </c>
      <c r="I29" s="5"/>
      <c r="J29" s="5"/>
    </row>
    <row r="30" spans="1:10" ht="31.2" x14ac:dyDescent="0.25">
      <c r="A30" s="4" t="s">
        <v>293</v>
      </c>
      <c r="B30" s="5" t="s">
        <v>328</v>
      </c>
      <c r="C30" s="5" t="s">
        <v>342</v>
      </c>
      <c r="D30" s="5" t="s">
        <v>363</v>
      </c>
      <c r="E30" s="6" t="s">
        <v>18</v>
      </c>
      <c r="F30" s="6"/>
      <c r="G30" s="6"/>
      <c r="H30" s="6" t="str">
        <f t="shared" si="8"/>
        <v>P</v>
      </c>
      <c r="I30" s="5"/>
      <c r="J30" s="5"/>
    </row>
    <row r="31" spans="1:10" ht="31.2" x14ac:dyDescent="0.25">
      <c r="A31" s="4" t="s">
        <v>294</v>
      </c>
      <c r="B31" s="5" t="s">
        <v>338</v>
      </c>
      <c r="C31" s="5" t="s">
        <v>343</v>
      </c>
      <c r="D31" s="5" t="s">
        <v>362</v>
      </c>
      <c r="E31" s="6" t="s">
        <v>18</v>
      </c>
      <c r="F31" s="6"/>
      <c r="G31" s="6"/>
      <c r="H31" s="6" t="str">
        <f t="shared" ref="H31:H32" si="9">IF(ISBLANK(G31),IF(ISBLANK(F31),IF(ISBLANK(E31),"",E31),F31),G31)</f>
        <v>P</v>
      </c>
      <c r="I31" s="5"/>
      <c r="J31" s="5"/>
    </row>
    <row r="32" spans="1:10" ht="31.2" x14ac:dyDescent="0.25">
      <c r="A32" s="4" t="s">
        <v>295</v>
      </c>
      <c r="B32" s="5" t="s">
        <v>337</v>
      </c>
      <c r="C32" s="5" t="s">
        <v>344</v>
      </c>
      <c r="D32" s="5" t="s">
        <v>361</v>
      </c>
      <c r="E32" s="6" t="s">
        <v>18</v>
      </c>
      <c r="F32" s="6"/>
      <c r="G32" s="6"/>
      <c r="H32" s="6" t="str">
        <f t="shared" si="9"/>
        <v>P</v>
      </c>
      <c r="I32" s="5"/>
      <c r="J32" s="5"/>
    </row>
    <row r="33" spans="1:10" ht="31.2" x14ac:dyDescent="0.25">
      <c r="A33" s="4" t="s">
        <v>296</v>
      </c>
      <c r="B33" s="5" t="s">
        <v>336</v>
      </c>
      <c r="C33" s="5" t="s">
        <v>345</v>
      </c>
      <c r="D33" s="5" t="s">
        <v>360</v>
      </c>
      <c r="E33" s="6" t="s">
        <v>18</v>
      </c>
      <c r="F33" s="6"/>
      <c r="G33" s="6"/>
      <c r="H33" s="6" t="str">
        <f t="shared" ref="H33:H34" si="10">IF(ISBLANK(G33),IF(ISBLANK(F33),IF(ISBLANK(E33),"",E33),F33),G33)</f>
        <v>P</v>
      </c>
      <c r="I33" s="5"/>
      <c r="J33" s="5"/>
    </row>
    <row r="34" spans="1:10" ht="31.2" x14ac:dyDescent="0.25">
      <c r="A34" s="4" t="s">
        <v>297</v>
      </c>
      <c r="B34" s="5" t="s">
        <v>335</v>
      </c>
      <c r="C34" s="5" t="s">
        <v>346</v>
      </c>
      <c r="D34" s="5" t="s">
        <v>359</v>
      </c>
      <c r="E34" s="6" t="s">
        <v>18</v>
      </c>
      <c r="F34" s="6"/>
      <c r="G34" s="6"/>
      <c r="H34" s="6" t="str">
        <f t="shared" si="10"/>
        <v>P</v>
      </c>
      <c r="I34" s="5"/>
      <c r="J34" s="5"/>
    </row>
    <row r="35" spans="1:10" ht="31.2" x14ac:dyDescent="0.25">
      <c r="A35" s="4" t="s">
        <v>298</v>
      </c>
      <c r="B35" s="5" t="s">
        <v>334</v>
      </c>
      <c r="C35" s="5" t="s">
        <v>347</v>
      </c>
      <c r="D35" s="5" t="s">
        <v>358</v>
      </c>
      <c r="E35" s="6" t="s">
        <v>18</v>
      </c>
      <c r="F35" s="6"/>
      <c r="G35" s="6"/>
      <c r="H35" s="6" t="str">
        <f t="shared" ref="H35:H36" si="11">IF(ISBLANK(G35),IF(ISBLANK(F35),IF(ISBLANK(E35),"",E35),F35),G35)</f>
        <v>P</v>
      </c>
      <c r="I35" s="5"/>
      <c r="J35" s="5"/>
    </row>
    <row r="36" spans="1:10" ht="31.2" x14ac:dyDescent="0.25">
      <c r="A36" s="4" t="s">
        <v>299</v>
      </c>
      <c r="B36" s="5" t="s">
        <v>333</v>
      </c>
      <c r="C36" s="5" t="s">
        <v>348</v>
      </c>
      <c r="D36" s="5" t="s">
        <v>357</v>
      </c>
      <c r="E36" s="6" t="s">
        <v>18</v>
      </c>
      <c r="F36" s="6"/>
      <c r="G36" s="6"/>
      <c r="H36" s="6" t="str">
        <f t="shared" si="11"/>
        <v>P</v>
      </c>
      <c r="I36" s="5"/>
      <c r="J36" s="5"/>
    </row>
    <row r="37" spans="1:10" ht="31.2" x14ac:dyDescent="0.25">
      <c r="A37" s="4" t="s">
        <v>300</v>
      </c>
      <c r="B37" s="5" t="s">
        <v>332</v>
      </c>
      <c r="C37" s="5" t="s">
        <v>349</v>
      </c>
      <c r="D37" s="5" t="s">
        <v>356</v>
      </c>
      <c r="E37" s="6" t="s">
        <v>18</v>
      </c>
      <c r="F37" s="6"/>
      <c r="G37" s="6"/>
      <c r="H37" s="6" t="str">
        <f t="shared" ref="H37:H38" si="12">IF(ISBLANK(G37),IF(ISBLANK(F37),IF(ISBLANK(E37),"",E37),F37),G37)</f>
        <v>P</v>
      </c>
      <c r="I37" s="5"/>
      <c r="J37" s="5"/>
    </row>
    <row r="38" spans="1:10" ht="31.2" x14ac:dyDescent="0.25">
      <c r="A38" s="4" t="s">
        <v>301</v>
      </c>
      <c r="B38" s="5" t="s">
        <v>331</v>
      </c>
      <c r="C38" s="5" t="s">
        <v>350</v>
      </c>
      <c r="D38" s="5" t="s">
        <v>355</v>
      </c>
      <c r="E38" s="6" t="s">
        <v>18</v>
      </c>
      <c r="F38" s="6"/>
      <c r="G38" s="6"/>
      <c r="H38" s="6" t="str">
        <f t="shared" si="12"/>
        <v>P</v>
      </c>
      <c r="I38" s="5"/>
      <c r="J38" s="5"/>
    </row>
    <row r="39" spans="1:10" ht="31.2" x14ac:dyDescent="0.25">
      <c r="A39" s="4" t="s">
        <v>302</v>
      </c>
      <c r="B39" s="5" t="s">
        <v>330</v>
      </c>
      <c r="C39" s="5" t="s">
        <v>351</v>
      </c>
      <c r="D39" s="5" t="s">
        <v>354</v>
      </c>
      <c r="E39" s="6" t="s">
        <v>18</v>
      </c>
      <c r="F39" s="6"/>
      <c r="G39" s="6"/>
      <c r="H39" s="6" t="str">
        <f t="shared" ref="H39:H40" si="13">IF(ISBLANK(G39),IF(ISBLANK(F39),IF(ISBLANK(E39),"",E39),F39),G39)</f>
        <v>P</v>
      </c>
      <c r="I39" s="5"/>
      <c r="J39" s="5"/>
    </row>
    <row r="40" spans="1:10" ht="31.2" x14ac:dyDescent="0.25">
      <c r="A40" s="4" t="s">
        <v>303</v>
      </c>
      <c r="B40" s="5" t="s">
        <v>329</v>
      </c>
      <c r="C40" s="5" t="s">
        <v>352</v>
      </c>
      <c r="D40" s="5" t="s">
        <v>353</v>
      </c>
      <c r="E40" s="6" t="s">
        <v>18</v>
      </c>
      <c r="F40" s="6"/>
      <c r="G40" s="6"/>
      <c r="H40" s="6" t="str">
        <f t="shared" si="13"/>
        <v>P</v>
      </c>
      <c r="I40" s="5"/>
      <c r="J40" s="5"/>
    </row>
    <row r="41" spans="1:10" ht="15.6" x14ac:dyDescent="0.25">
      <c r="A41" s="4" t="s">
        <v>304</v>
      </c>
      <c r="B41" s="5" t="s">
        <v>322</v>
      </c>
      <c r="C41" s="5" t="s">
        <v>369</v>
      </c>
      <c r="D41" s="5" t="s">
        <v>367</v>
      </c>
      <c r="E41" s="6" t="s">
        <v>18</v>
      </c>
      <c r="F41" s="6"/>
      <c r="G41" s="6"/>
      <c r="H41" s="6" t="str">
        <f t="shared" ref="H41" si="14">IF(ISBLANK(G41),IF(ISBLANK(F41),IF(ISBLANK(E41),"",E41),F41),G41)</f>
        <v>P</v>
      </c>
      <c r="I41" s="5"/>
      <c r="J41" s="5"/>
    </row>
    <row r="42" spans="1:10" ht="31.2" x14ac:dyDescent="0.25">
      <c r="A42" s="4" t="s">
        <v>305</v>
      </c>
      <c r="B42" s="5" t="s">
        <v>323</v>
      </c>
      <c r="C42" s="5" t="s">
        <v>368</v>
      </c>
      <c r="D42" s="5" t="s">
        <v>371</v>
      </c>
      <c r="E42" s="6" t="s">
        <v>18</v>
      </c>
      <c r="F42" s="6"/>
      <c r="G42" s="6"/>
      <c r="H42" s="6" t="str">
        <f t="shared" ref="H42:H43" si="15">IF(ISBLANK(G42),IF(ISBLANK(F42),IF(ISBLANK(E42),"",E42),F42),G42)</f>
        <v>P</v>
      </c>
      <c r="I42" s="5"/>
      <c r="J42" s="5"/>
    </row>
    <row r="43" spans="1:10" ht="31.2" x14ac:dyDescent="0.25">
      <c r="A43" s="4" t="s">
        <v>306</v>
      </c>
      <c r="B43" s="5" t="s">
        <v>324</v>
      </c>
      <c r="C43" s="5" t="s">
        <v>370</v>
      </c>
      <c r="D43" s="5" t="s">
        <v>372</v>
      </c>
      <c r="E43" s="6" t="s">
        <v>18</v>
      </c>
      <c r="F43" s="6"/>
      <c r="G43" s="6"/>
      <c r="H43" s="6" t="str">
        <f t="shared" si="15"/>
        <v>P</v>
      </c>
      <c r="I43" s="5"/>
      <c r="J43" s="5"/>
    </row>
    <row r="44" spans="1:10" ht="234" x14ac:dyDescent="0.25">
      <c r="A44" s="4" t="s">
        <v>307</v>
      </c>
      <c r="B44" s="5" t="s">
        <v>373</v>
      </c>
      <c r="C44" s="5" t="s">
        <v>580</v>
      </c>
      <c r="D44" s="5" t="s">
        <v>375</v>
      </c>
      <c r="E44" s="6" t="s">
        <v>18</v>
      </c>
      <c r="F44" s="6"/>
      <c r="G44" s="6"/>
      <c r="H44" s="6" t="str">
        <f t="shared" ref="H44:H46" si="16">IF(ISBLANK(G44),IF(ISBLANK(F44),IF(ISBLANK(E44),"",E44),F44),G44)</f>
        <v>P</v>
      </c>
      <c r="I44" s="5"/>
      <c r="J44" s="5"/>
    </row>
    <row r="45" spans="1:10" ht="78" x14ac:dyDescent="0.25">
      <c r="A45" s="4" t="s">
        <v>308</v>
      </c>
      <c r="B45" s="5" t="s">
        <v>376</v>
      </c>
      <c r="C45" s="5" t="s">
        <v>87</v>
      </c>
      <c r="D45" s="5" t="s">
        <v>88</v>
      </c>
      <c r="E45" s="6" t="s">
        <v>18</v>
      </c>
      <c r="F45" s="6"/>
      <c r="G45" s="6"/>
      <c r="H45" s="6" t="str">
        <f t="shared" si="16"/>
        <v>P</v>
      </c>
      <c r="I45" s="5"/>
      <c r="J45" s="5"/>
    </row>
    <row r="46" spans="1:10" ht="31.2" x14ac:dyDescent="0.25">
      <c r="A46" s="4" t="s">
        <v>309</v>
      </c>
      <c r="B46" s="5" t="s">
        <v>377</v>
      </c>
      <c r="C46" s="5" t="s">
        <v>41</v>
      </c>
      <c r="D46" s="5" t="s">
        <v>42</v>
      </c>
      <c r="E46" s="6" t="s">
        <v>18</v>
      </c>
      <c r="F46" s="6"/>
      <c r="G46" s="6"/>
      <c r="H46" s="6" t="str">
        <f t="shared" si="16"/>
        <v>P</v>
      </c>
      <c r="I46" s="5"/>
      <c r="J46" s="5"/>
    </row>
    <row r="47" spans="1:10" ht="31.2" x14ac:dyDescent="0.25">
      <c r="A47" s="4" t="s">
        <v>310</v>
      </c>
      <c r="B47" s="5" t="s">
        <v>384</v>
      </c>
      <c r="C47" s="5" t="s">
        <v>41</v>
      </c>
      <c r="D47" s="5" t="s">
        <v>42</v>
      </c>
      <c r="E47" s="6" t="s">
        <v>18</v>
      </c>
      <c r="F47" s="6"/>
      <c r="G47" s="6"/>
      <c r="H47" s="6" t="str">
        <f t="shared" ref="H47:H53" si="17">IF(ISBLANK(G47),IF(ISBLANK(F47),IF(ISBLANK(E47),"",E47),F47),G47)</f>
        <v>P</v>
      </c>
      <c r="I47" s="5"/>
      <c r="J47" s="5"/>
    </row>
    <row r="48" spans="1:10" ht="31.2" x14ac:dyDescent="0.25">
      <c r="A48" s="4" t="s">
        <v>378</v>
      </c>
      <c r="B48" s="5" t="s">
        <v>385</v>
      </c>
      <c r="C48" s="5" t="s">
        <v>41</v>
      </c>
      <c r="D48" s="5" t="s">
        <v>42</v>
      </c>
      <c r="E48" s="6" t="s">
        <v>18</v>
      </c>
      <c r="F48" s="6"/>
      <c r="G48" s="6"/>
      <c r="H48" s="6" t="str">
        <f t="shared" si="17"/>
        <v>P</v>
      </c>
      <c r="I48" s="5"/>
      <c r="J48" s="5"/>
    </row>
    <row r="49" spans="1:10" ht="15.6" x14ac:dyDescent="0.25">
      <c r="A49" s="4" t="s">
        <v>379</v>
      </c>
      <c r="B49" s="5" t="s">
        <v>386</v>
      </c>
      <c r="C49" s="5" t="s">
        <v>41</v>
      </c>
      <c r="D49" s="5" t="s">
        <v>42</v>
      </c>
      <c r="E49" s="6" t="s">
        <v>18</v>
      </c>
      <c r="F49" s="6"/>
      <c r="G49" s="6"/>
      <c r="H49" s="6" t="str">
        <f t="shared" si="17"/>
        <v>P</v>
      </c>
      <c r="I49" s="5"/>
      <c r="J49" s="5"/>
    </row>
    <row r="50" spans="1:10" ht="31.2" x14ac:dyDescent="0.25">
      <c r="A50" s="4" t="s">
        <v>380</v>
      </c>
      <c r="B50" s="5" t="s">
        <v>387</v>
      </c>
      <c r="C50" s="5" t="s">
        <v>41</v>
      </c>
      <c r="D50" s="5" t="s">
        <v>42</v>
      </c>
      <c r="E50" s="6" t="s">
        <v>18</v>
      </c>
      <c r="F50" s="6"/>
      <c r="G50" s="6"/>
      <c r="H50" s="6" t="str">
        <f t="shared" si="17"/>
        <v>P</v>
      </c>
      <c r="I50" s="5"/>
      <c r="J50" s="5"/>
    </row>
    <row r="51" spans="1:10" ht="31.2" x14ac:dyDescent="0.25">
      <c r="A51" s="4" t="s">
        <v>381</v>
      </c>
      <c r="B51" s="5" t="s">
        <v>388</v>
      </c>
      <c r="C51" s="5" t="s">
        <v>41</v>
      </c>
      <c r="D51" s="5" t="s">
        <v>42</v>
      </c>
      <c r="E51" s="6" t="s">
        <v>18</v>
      </c>
      <c r="F51" s="6"/>
      <c r="G51" s="6"/>
      <c r="H51" s="6" t="str">
        <f t="shared" si="17"/>
        <v>P</v>
      </c>
      <c r="I51" s="5"/>
      <c r="J51" s="5"/>
    </row>
    <row r="52" spans="1:10" ht="31.2" x14ac:dyDescent="0.25">
      <c r="A52" s="4" t="s">
        <v>382</v>
      </c>
      <c r="B52" s="5" t="s">
        <v>389</v>
      </c>
      <c r="C52" s="5" t="s">
        <v>41</v>
      </c>
      <c r="D52" s="5" t="s">
        <v>42</v>
      </c>
      <c r="E52" s="6" t="s">
        <v>18</v>
      </c>
      <c r="F52" s="6"/>
      <c r="G52" s="6"/>
      <c r="H52" s="6" t="str">
        <f t="shared" si="17"/>
        <v>P</v>
      </c>
      <c r="I52" s="5"/>
      <c r="J52" s="5"/>
    </row>
    <row r="53" spans="1:10" ht="31.2" x14ac:dyDescent="0.25">
      <c r="A53" s="4" t="s">
        <v>383</v>
      </c>
      <c r="B53" s="5" t="s">
        <v>390</v>
      </c>
      <c r="C53" s="5" t="s">
        <v>41</v>
      </c>
      <c r="D53" s="5" t="s">
        <v>42</v>
      </c>
      <c r="E53" s="6" t="s">
        <v>18</v>
      </c>
      <c r="F53" s="6"/>
      <c r="G53" s="6"/>
      <c r="H53" s="6" t="str">
        <f t="shared" si="17"/>
        <v>P</v>
      </c>
      <c r="I53" s="5"/>
      <c r="J53" s="5"/>
    </row>
    <row r="54" spans="1:10" ht="15.6" x14ac:dyDescent="0.25">
      <c r="A54" s="4" t="s">
        <v>391</v>
      </c>
      <c r="B54" s="5" t="s">
        <v>401</v>
      </c>
      <c r="C54" s="5" t="s">
        <v>41</v>
      </c>
      <c r="D54" s="5" t="s">
        <v>392</v>
      </c>
      <c r="E54" s="6" t="s">
        <v>18</v>
      </c>
      <c r="F54" s="6"/>
      <c r="G54" s="6"/>
      <c r="H54" s="6" t="str">
        <f t="shared" ref="H54" si="18">IF(ISBLANK(G54),IF(ISBLANK(F54),IF(ISBLANK(E54),"",E54),F54),G54)</f>
        <v>P</v>
      </c>
      <c r="I54" s="5"/>
      <c r="J54" s="5"/>
    </row>
    <row r="55" spans="1:10" ht="31.2" x14ac:dyDescent="0.25">
      <c r="A55" s="4" t="s">
        <v>393</v>
      </c>
      <c r="B55" s="5" t="s">
        <v>395</v>
      </c>
      <c r="C55" s="5" t="s">
        <v>41</v>
      </c>
      <c r="D55" s="5" t="s">
        <v>78</v>
      </c>
      <c r="E55" s="6" t="s">
        <v>18</v>
      </c>
      <c r="F55" s="6"/>
      <c r="G55" s="6"/>
      <c r="H55" s="6" t="str">
        <f t="shared" ref="H55:H56" si="19">IF(ISBLANK(G55),IF(ISBLANK(F55),IF(ISBLANK(E55),"",E55),F55),G55)</f>
        <v>P</v>
      </c>
      <c r="I55" s="5"/>
      <c r="J55" s="5"/>
    </row>
    <row r="56" spans="1:10" ht="15.6" x14ac:dyDescent="0.25">
      <c r="A56" s="4" t="s">
        <v>394</v>
      </c>
      <c r="B56" s="5" t="s">
        <v>396</v>
      </c>
      <c r="C56" s="5" t="s">
        <v>41</v>
      </c>
      <c r="D56" s="5" t="s">
        <v>42</v>
      </c>
      <c r="E56" s="6" t="s">
        <v>18</v>
      </c>
      <c r="F56" s="6"/>
      <c r="G56" s="6"/>
      <c r="H56" s="6" t="str">
        <f t="shared" si="19"/>
        <v>P</v>
      </c>
      <c r="I56" s="5"/>
      <c r="J56" s="5"/>
    </row>
    <row r="57" spans="1:10" ht="15.6" x14ac:dyDescent="0.25">
      <c r="A57" s="4" t="s">
        <v>397</v>
      </c>
      <c r="B57" s="5" t="s">
        <v>398</v>
      </c>
      <c r="C57" s="5" t="s">
        <v>41</v>
      </c>
      <c r="D57" s="5" t="s">
        <v>42</v>
      </c>
      <c r="E57" s="6" t="s">
        <v>18</v>
      </c>
      <c r="F57" s="6"/>
      <c r="G57" s="6"/>
      <c r="H57" s="6" t="str">
        <f t="shared" ref="H57" si="20">IF(ISBLANK(G57),IF(ISBLANK(F57),IF(ISBLANK(E57),"",E57),F57),G57)</f>
        <v>P</v>
      </c>
      <c r="I57" s="5"/>
      <c r="J57" s="5"/>
    </row>
    <row r="58" spans="1:10" ht="31.2" x14ac:dyDescent="0.25">
      <c r="A58" s="4" t="s">
        <v>399</v>
      </c>
      <c r="B58" s="5" t="s">
        <v>395</v>
      </c>
      <c r="C58" s="5" t="s">
        <v>400</v>
      </c>
      <c r="D58" s="5" t="s">
        <v>402</v>
      </c>
      <c r="E58" s="6" t="s">
        <v>18</v>
      </c>
      <c r="F58" s="6"/>
      <c r="G58" s="6"/>
      <c r="H58" s="6" t="str">
        <f t="shared" ref="H58" si="21">IF(ISBLANK(G58),IF(ISBLANK(F58),IF(ISBLANK(E58),"",E58),F58),G58)</f>
        <v>P</v>
      </c>
      <c r="I58" s="5"/>
      <c r="J58" s="5"/>
    </row>
    <row r="59" spans="1:10" ht="156" x14ac:dyDescent="0.25">
      <c r="A59" s="4" t="s">
        <v>403</v>
      </c>
      <c r="B59" s="5" t="s">
        <v>404</v>
      </c>
      <c r="C59" s="5" t="s">
        <v>405</v>
      </c>
      <c r="D59" s="5" t="s">
        <v>406</v>
      </c>
      <c r="E59" s="6" t="s">
        <v>18</v>
      </c>
      <c r="F59" s="6"/>
      <c r="G59" s="6"/>
      <c r="H59" s="6" t="str">
        <f t="shared" ref="H59" si="22">IF(ISBLANK(G59),IF(ISBLANK(F59),IF(ISBLANK(E59),"",E59),F59),G59)</f>
        <v>P</v>
      </c>
      <c r="I59" s="5"/>
      <c r="J59" s="5"/>
    </row>
    <row r="60" spans="1:10" ht="140.4" x14ac:dyDescent="0.25">
      <c r="A60" s="4" t="s">
        <v>407</v>
      </c>
      <c r="B60" s="5" t="s">
        <v>408</v>
      </c>
      <c r="C60" s="5" t="s">
        <v>409</v>
      </c>
      <c r="D60" s="5" t="s">
        <v>413</v>
      </c>
      <c r="E60" s="6" t="s">
        <v>18</v>
      </c>
      <c r="F60" s="6"/>
      <c r="G60" s="6"/>
      <c r="H60" s="6" t="str">
        <f t="shared" ref="H60:H62" si="23">IF(ISBLANK(G60),IF(ISBLANK(F60),IF(ISBLANK(E60),"",E60),F60),G60)</f>
        <v>P</v>
      </c>
      <c r="I60" s="5"/>
      <c r="J60" s="5"/>
    </row>
    <row r="61" spans="1:10" ht="140.4" x14ac:dyDescent="0.25">
      <c r="A61" s="4" t="s">
        <v>410</v>
      </c>
      <c r="B61" s="5" t="s">
        <v>408</v>
      </c>
      <c r="C61" s="5" t="s">
        <v>411</v>
      </c>
      <c r="D61" s="5" t="s">
        <v>412</v>
      </c>
      <c r="E61" s="6" t="s">
        <v>18</v>
      </c>
      <c r="F61" s="6"/>
      <c r="G61" s="6"/>
      <c r="H61" s="6" t="str">
        <f t="shared" si="23"/>
        <v>P</v>
      </c>
      <c r="I61" s="5"/>
      <c r="J61" s="5"/>
    </row>
    <row r="62" spans="1:10" ht="140.4" x14ac:dyDescent="0.25">
      <c r="A62" s="4" t="s">
        <v>414</v>
      </c>
      <c r="B62" s="5" t="s">
        <v>408</v>
      </c>
      <c r="C62" s="5" t="s">
        <v>421</v>
      </c>
      <c r="D62" s="5" t="s">
        <v>422</v>
      </c>
      <c r="E62" s="6" t="s">
        <v>18</v>
      </c>
      <c r="F62" s="6"/>
      <c r="G62" s="6"/>
      <c r="H62" s="6" t="str">
        <f t="shared" si="23"/>
        <v>P</v>
      </c>
      <c r="I62" s="5"/>
      <c r="J62" s="5"/>
    </row>
    <row r="63" spans="1:10" ht="140.4" x14ac:dyDescent="0.25">
      <c r="A63" s="4" t="s">
        <v>415</v>
      </c>
      <c r="B63" s="5" t="s">
        <v>408</v>
      </c>
      <c r="C63" s="5" t="s">
        <v>423</v>
      </c>
      <c r="D63" s="5" t="s">
        <v>424</v>
      </c>
      <c r="E63" s="6" t="s">
        <v>18</v>
      </c>
      <c r="F63" s="6"/>
      <c r="G63" s="6"/>
      <c r="H63" s="6" t="str">
        <f t="shared" ref="H63:H68" si="24">IF(ISBLANK(G63),IF(ISBLANK(F63),IF(ISBLANK(E63),"",E63),F63),G63)</f>
        <v>P</v>
      </c>
      <c r="I63" s="5"/>
      <c r="J63" s="5"/>
    </row>
    <row r="64" spans="1:10" ht="140.4" x14ac:dyDescent="0.25">
      <c r="A64" s="4" t="s">
        <v>416</v>
      </c>
      <c r="B64" s="5" t="s">
        <v>408</v>
      </c>
      <c r="C64" s="5" t="s">
        <v>425</v>
      </c>
      <c r="D64" s="5" t="s">
        <v>426</v>
      </c>
      <c r="E64" s="6" t="s">
        <v>18</v>
      </c>
      <c r="F64" s="6"/>
      <c r="G64" s="6"/>
      <c r="H64" s="6" t="str">
        <f t="shared" si="24"/>
        <v>P</v>
      </c>
      <c r="I64" s="5"/>
      <c r="J64" s="5"/>
    </row>
    <row r="65" spans="1:10" ht="140.4" x14ac:dyDescent="0.25">
      <c r="A65" s="4" t="s">
        <v>417</v>
      </c>
      <c r="B65" s="5" t="s">
        <v>408</v>
      </c>
      <c r="C65" s="5" t="s">
        <v>427</v>
      </c>
      <c r="D65" s="5" t="s">
        <v>428</v>
      </c>
      <c r="E65" s="6" t="s">
        <v>18</v>
      </c>
      <c r="F65" s="6"/>
      <c r="G65" s="6"/>
      <c r="H65" s="6" t="str">
        <f t="shared" si="24"/>
        <v>P</v>
      </c>
      <c r="I65" s="5"/>
      <c r="J65" s="5"/>
    </row>
    <row r="66" spans="1:10" ht="140.4" x14ac:dyDescent="0.25">
      <c r="A66" s="4" t="s">
        <v>418</v>
      </c>
      <c r="B66" s="5" t="s">
        <v>408</v>
      </c>
      <c r="C66" s="5" t="s">
        <v>430</v>
      </c>
      <c r="D66" s="5" t="s">
        <v>429</v>
      </c>
      <c r="E66" s="6" t="s">
        <v>18</v>
      </c>
      <c r="F66" s="6"/>
      <c r="G66" s="6"/>
      <c r="H66" s="6" t="str">
        <f t="shared" si="24"/>
        <v>P</v>
      </c>
      <c r="I66" s="5"/>
      <c r="J66" s="5"/>
    </row>
    <row r="67" spans="1:10" ht="140.4" x14ac:dyDescent="0.25">
      <c r="A67" s="4" t="s">
        <v>419</v>
      </c>
      <c r="B67" s="5" t="s">
        <v>408</v>
      </c>
      <c r="C67" s="5" t="s">
        <v>431</v>
      </c>
      <c r="D67" s="5" t="s">
        <v>432</v>
      </c>
      <c r="E67" s="6" t="s">
        <v>18</v>
      </c>
      <c r="F67" s="6"/>
      <c r="G67" s="6"/>
      <c r="H67" s="6" t="str">
        <f t="shared" si="24"/>
        <v>P</v>
      </c>
      <c r="I67" s="5"/>
      <c r="J67" s="5"/>
    </row>
    <row r="68" spans="1:10" ht="140.4" x14ac:dyDescent="0.25">
      <c r="A68" s="4" t="s">
        <v>420</v>
      </c>
      <c r="B68" s="5" t="s">
        <v>408</v>
      </c>
      <c r="C68" s="5" t="s">
        <v>434</v>
      </c>
      <c r="D68" s="5" t="s">
        <v>435</v>
      </c>
      <c r="E68" s="6" t="s">
        <v>18</v>
      </c>
      <c r="F68" s="6"/>
      <c r="G68" s="6"/>
      <c r="H68" s="6" t="str">
        <f t="shared" si="24"/>
        <v>P</v>
      </c>
      <c r="I68" s="5"/>
      <c r="J68" s="5"/>
    </row>
    <row r="69" spans="1:10" ht="156" x14ac:dyDescent="0.25">
      <c r="A69" s="4" t="s">
        <v>433</v>
      </c>
      <c r="B69" s="5" t="s">
        <v>408</v>
      </c>
      <c r="C69" s="5" t="s">
        <v>436</v>
      </c>
      <c r="D69" s="5" t="s">
        <v>437</v>
      </c>
      <c r="E69" s="6" t="s">
        <v>18</v>
      </c>
      <c r="F69" s="6"/>
      <c r="G69" s="6"/>
      <c r="H69" s="6" t="str">
        <f t="shared" ref="H69" si="25">IF(ISBLANK(G69),IF(ISBLANK(F69),IF(ISBLANK(E69),"",E69),F69),G69)</f>
        <v>P</v>
      </c>
      <c r="I69" s="5"/>
      <c r="J69" s="5"/>
    </row>
    <row r="70" spans="1:10" ht="156" x14ac:dyDescent="0.25">
      <c r="A70" s="4" t="s">
        <v>438</v>
      </c>
      <c r="B70" s="5" t="s">
        <v>398</v>
      </c>
      <c r="C70" s="5" t="s">
        <v>439</v>
      </c>
      <c r="D70" s="5" t="s">
        <v>440</v>
      </c>
      <c r="E70" s="6" t="s">
        <v>18</v>
      </c>
      <c r="F70" s="6"/>
      <c r="G70" s="6"/>
      <c r="H70" s="6" t="str">
        <f t="shared" ref="H70:H97" si="26">IF(ISBLANK(G70),IF(ISBLANK(F70),IF(ISBLANK(E70),"",E70),F70),G70)</f>
        <v>P</v>
      </c>
      <c r="I70" s="5"/>
      <c r="J70" s="5"/>
    </row>
    <row r="71" spans="1:10" ht="234" x14ac:dyDescent="0.25">
      <c r="A71" s="4" t="s">
        <v>456</v>
      </c>
      <c r="B71" s="5" t="s">
        <v>666</v>
      </c>
      <c r="C71" s="5" t="s">
        <v>374</v>
      </c>
      <c r="D71" s="5" t="s">
        <v>375</v>
      </c>
      <c r="E71" s="6" t="s">
        <v>18</v>
      </c>
      <c r="F71" s="6"/>
      <c r="G71" s="6"/>
      <c r="H71" s="6" t="str">
        <f t="shared" si="26"/>
        <v>P</v>
      </c>
      <c r="I71" s="5"/>
      <c r="J71" s="5"/>
    </row>
    <row r="72" spans="1:10" ht="78" x14ac:dyDescent="0.25">
      <c r="A72" s="4" t="s">
        <v>457</v>
      </c>
      <c r="B72" s="5" t="s">
        <v>667</v>
      </c>
      <c r="C72" s="5" t="s">
        <v>87</v>
      </c>
      <c r="D72" s="5" t="s">
        <v>88</v>
      </c>
      <c r="E72" s="6" t="s">
        <v>18</v>
      </c>
      <c r="F72" s="6"/>
      <c r="G72" s="6"/>
      <c r="H72" s="6" t="str">
        <f t="shared" si="26"/>
        <v>P</v>
      </c>
      <c r="I72" s="5"/>
      <c r="J72" s="5"/>
    </row>
    <row r="73" spans="1:10" ht="31.2" x14ac:dyDescent="0.25">
      <c r="A73" s="4" t="s">
        <v>458</v>
      </c>
      <c r="B73" s="5" t="s">
        <v>441</v>
      </c>
      <c r="C73" s="5" t="s">
        <v>41</v>
      </c>
      <c r="D73" s="5" t="s">
        <v>42</v>
      </c>
      <c r="E73" s="6" t="s">
        <v>18</v>
      </c>
      <c r="F73" s="6"/>
      <c r="G73" s="6"/>
      <c r="H73" s="6" t="str">
        <f t="shared" si="26"/>
        <v>P</v>
      </c>
      <c r="I73" s="5"/>
      <c r="J73" s="5"/>
    </row>
    <row r="74" spans="1:10" ht="31.2" x14ac:dyDescent="0.25">
      <c r="A74" s="4" t="s">
        <v>459</v>
      </c>
      <c r="B74" s="5" t="s">
        <v>442</v>
      </c>
      <c r="C74" s="5" t="s">
        <v>41</v>
      </c>
      <c r="D74" s="5" t="s">
        <v>42</v>
      </c>
      <c r="E74" s="6" t="s">
        <v>18</v>
      </c>
      <c r="F74" s="6"/>
      <c r="G74" s="6"/>
      <c r="H74" s="6" t="str">
        <f t="shared" si="26"/>
        <v>P</v>
      </c>
      <c r="I74" s="5"/>
      <c r="J74" s="5"/>
    </row>
    <row r="75" spans="1:10" ht="31.2" x14ac:dyDescent="0.25">
      <c r="A75" s="4" t="s">
        <v>460</v>
      </c>
      <c r="B75" s="5" t="s">
        <v>443</v>
      </c>
      <c r="C75" s="5" t="s">
        <v>41</v>
      </c>
      <c r="D75" s="5" t="s">
        <v>42</v>
      </c>
      <c r="E75" s="6" t="s">
        <v>18</v>
      </c>
      <c r="F75" s="6"/>
      <c r="G75" s="6"/>
      <c r="H75" s="6" t="str">
        <f t="shared" si="26"/>
        <v>P</v>
      </c>
      <c r="I75" s="5"/>
      <c r="J75" s="5"/>
    </row>
    <row r="76" spans="1:10" ht="15.6" x14ac:dyDescent="0.25">
      <c r="A76" s="4" t="s">
        <v>461</v>
      </c>
      <c r="B76" s="5" t="s">
        <v>444</v>
      </c>
      <c r="C76" s="5" t="s">
        <v>41</v>
      </c>
      <c r="D76" s="5" t="s">
        <v>42</v>
      </c>
      <c r="E76" s="6" t="s">
        <v>18</v>
      </c>
      <c r="F76" s="6"/>
      <c r="G76" s="6"/>
      <c r="H76" s="6" t="str">
        <f t="shared" si="26"/>
        <v>P</v>
      </c>
      <c r="I76" s="5"/>
      <c r="J76" s="5"/>
    </row>
    <row r="77" spans="1:10" ht="31.2" x14ac:dyDescent="0.25">
      <c r="A77" s="4" t="s">
        <v>462</v>
      </c>
      <c r="B77" s="5" t="s">
        <v>445</v>
      </c>
      <c r="C77" s="5" t="s">
        <v>41</v>
      </c>
      <c r="D77" s="5" t="s">
        <v>42</v>
      </c>
      <c r="E77" s="6" t="s">
        <v>18</v>
      </c>
      <c r="F77" s="6"/>
      <c r="G77" s="6"/>
      <c r="H77" s="6" t="str">
        <f t="shared" si="26"/>
        <v>P</v>
      </c>
      <c r="I77" s="5"/>
      <c r="J77" s="5"/>
    </row>
    <row r="78" spans="1:10" ht="31.2" x14ac:dyDescent="0.25">
      <c r="A78" s="4" t="s">
        <v>463</v>
      </c>
      <c r="B78" s="5" t="s">
        <v>446</v>
      </c>
      <c r="C78" s="5" t="s">
        <v>41</v>
      </c>
      <c r="D78" s="5" t="s">
        <v>42</v>
      </c>
      <c r="E78" s="6" t="s">
        <v>18</v>
      </c>
      <c r="F78" s="6"/>
      <c r="G78" s="6"/>
      <c r="H78" s="6" t="str">
        <f t="shared" si="26"/>
        <v>P</v>
      </c>
      <c r="I78" s="5"/>
      <c r="J78" s="5"/>
    </row>
    <row r="79" spans="1:10" ht="31.2" x14ac:dyDescent="0.25">
      <c r="A79" s="4" t="s">
        <v>464</v>
      </c>
      <c r="B79" s="5" t="s">
        <v>447</v>
      </c>
      <c r="C79" s="5" t="s">
        <v>41</v>
      </c>
      <c r="D79" s="5" t="s">
        <v>42</v>
      </c>
      <c r="E79" s="6" t="s">
        <v>18</v>
      </c>
      <c r="F79" s="6"/>
      <c r="G79" s="6"/>
      <c r="H79" s="6" t="str">
        <f t="shared" si="26"/>
        <v>P</v>
      </c>
      <c r="I79" s="5"/>
      <c r="J79" s="5"/>
    </row>
    <row r="80" spans="1:10" ht="31.2" x14ac:dyDescent="0.25">
      <c r="A80" s="4" t="s">
        <v>465</v>
      </c>
      <c r="B80" s="5" t="s">
        <v>448</v>
      </c>
      <c r="C80" s="5" t="s">
        <v>41</v>
      </c>
      <c r="D80" s="5" t="s">
        <v>42</v>
      </c>
      <c r="E80" s="6" t="s">
        <v>18</v>
      </c>
      <c r="F80" s="6"/>
      <c r="G80" s="6"/>
      <c r="H80" s="6" t="str">
        <f t="shared" si="26"/>
        <v>P</v>
      </c>
      <c r="I80" s="5"/>
      <c r="J80" s="5"/>
    </row>
    <row r="81" spans="1:10" ht="15.6" x14ac:dyDescent="0.25">
      <c r="A81" s="4" t="s">
        <v>466</v>
      </c>
      <c r="B81" s="5" t="s">
        <v>449</v>
      </c>
      <c r="C81" s="5" t="s">
        <v>41</v>
      </c>
      <c r="D81" s="5" t="s">
        <v>392</v>
      </c>
      <c r="E81" s="6" t="s">
        <v>18</v>
      </c>
      <c r="F81" s="6"/>
      <c r="G81" s="6"/>
      <c r="H81" s="6" t="str">
        <f t="shared" si="26"/>
        <v>P</v>
      </c>
      <c r="I81" s="5"/>
      <c r="J81" s="5"/>
    </row>
    <row r="82" spans="1:10" ht="31.2" x14ac:dyDescent="0.25">
      <c r="A82" s="4" t="s">
        <v>467</v>
      </c>
      <c r="B82" s="5" t="s">
        <v>450</v>
      </c>
      <c r="C82" s="5" t="s">
        <v>41</v>
      </c>
      <c r="D82" s="5" t="s">
        <v>78</v>
      </c>
      <c r="E82" s="6" t="s">
        <v>18</v>
      </c>
      <c r="F82" s="6"/>
      <c r="G82" s="6"/>
      <c r="H82" s="6" t="str">
        <f t="shared" si="26"/>
        <v>P</v>
      </c>
      <c r="I82" s="5"/>
      <c r="J82" s="5"/>
    </row>
    <row r="83" spans="1:10" ht="15.6" x14ac:dyDescent="0.25">
      <c r="A83" s="4" t="s">
        <v>468</v>
      </c>
      <c r="B83" s="5" t="s">
        <v>451</v>
      </c>
      <c r="C83" s="5" t="s">
        <v>41</v>
      </c>
      <c r="D83" s="5" t="s">
        <v>42</v>
      </c>
      <c r="E83" s="6" t="s">
        <v>18</v>
      </c>
      <c r="F83" s="6"/>
      <c r="G83" s="6"/>
      <c r="H83" s="6" t="str">
        <f t="shared" si="26"/>
        <v>P</v>
      </c>
      <c r="I83" s="5"/>
      <c r="J83" s="5"/>
    </row>
    <row r="84" spans="1:10" ht="15.6" x14ac:dyDescent="0.25">
      <c r="A84" s="4" t="s">
        <v>469</v>
      </c>
      <c r="B84" s="5" t="s">
        <v>483</v>
      </c>
      <c r="C84" s="5" t="s">
        <v>41</v>
      </c>
      <c r="D84" s="5" t="s">
        <v>42</v>
      </c>
      <c r="E84" s="6" t="s">
        <v>18</v>
      </c>
      <c r="F84" s="6"/>
      <c r="G84" s="6"/>
      <c r="H84" s="6" t="str">
        <f t="shared" si="26"/>
        <v>P</v>
      </c>
      <c r="I84" s="5"/>
      <c r="J84" s="5"/>
    </row>
    <row r="85" spans="1:10" ht="31.2" x14ac:dyDescent="0.25">
      <c r="A85" s="4" t="s">
        <v>470</v>
      </c>
      <c r="B85" s="5" t="s">
        <v>450</v>
      </c>
      <c r="C85" s="5" t="s">
        <v>452</v>
      </c>
      <c r="D85" s="5" t="s">
        <v>453</v>
      </c>
      <c r="E85" s="6" t="s">
        <v>18</v>
      </c>
      <c r="F85" s="6"/>
      <c r="G85" s="6"/>
      <c r="H85" s="6" t="str">
        <f t="shared" si="26"/>
        <v>P</v>
      </c>
      <c r="I85" s="5"/>
      <c r="J85" s="5"/>
    </row>
    <row r="86" spans="1:10" ht="171.6" x14ac:dyDescent="0.25">
      <c r="A86" s="4" t="s">
        <v>471</v>
      </c>
      <c r="B86" s="5" t="s">
        <v>454</v>
      </c>
      <c r="C86" s="5" t="s">
        <v>486</v>
      </c>
      <c r="D86" s="5" t="s">
        <v>484</v>
      </c>
      <c r="E86" s="6" t="s">
        <v>18</v>
      </c>
      <c r="F86" s="6"/>
      <c r="G86" s="6"/>
      <c r="H86" s="6" t="str">
        <f t="shared" si="26"/>
        <v>P</v>
      </c>
      <c r="I86" s="5"/>
      <c r="J86" s="5"/>
    </row>
    <row r="87" spans="1:10" ht="156" x14ac:dyDescent="0.25">
      <c r="A87" s="4" t="s">
        <v>472</v>
      </c>
      <c r="B87" s="5" t="s">
        <v>455</v>
      </c>
      <c r="C87" s="5" t="s">
        <v>487</v>
      </c>
      <c r="D87" s="5" t="s">
        <v>413</v>
      </c>
      <c r="E87" s="6" t="s">
        <v>18</v>
      </c>
      <c r="F87" s="6"/>
      <c r="G87" s="6"/>
      <c r="H87" s="6" t="str">
        <f t="shared" si="26"/>
        <v>P</v>
      </c>
      <c r="I87" s="5"/>
      <c r="J87" s="5"/>
    </row>
    <row r="88" spans="1:10" ht="156" x14ac:dyDescent="0.25">
      <c r="A88" s="4" t="s">
        <v>473</v>
      </c>
      <c r="B88" s="5" t="s">
        <v>455</v>
      </c>
      <c r="C88" s="5" t="s">
        <v>488</v>
      </c>
      <c r="D88" s="5" t="s">
        <v>412</v>
      </c>
      <c r="E88" s="6" t="s">
        <v>18</v>
      </c>
      <c r="F88" s="6"/>
      <c r="G88" s="6"/>
      <c r="H88" s="6" t="str">
        <f t="shared" si="26"/>
        <v>P</v>
      </c>
      <c r="I88" s="5"/>
      <c r="J88" s="5"/>
    </row>
    <row r="89" spans="1:10" ht="156" x14ac:dyDescent="0.25">
      <c r="A89" s="4" t="s">
        <v>474</v>
      </c>
      <c r="B89" s="5" t="s">
        <v>455</v>
      </c>
      <c r="C89" s="5" t="s">
        <v>489</v>
      </c>
      <c r="D89" s="5" t="s">
        <v>422</v>
      </c>
      <c r="E89" s="6" t="s">
        <v>18</v>
      </c>
      <c r="F89" s="6"/>
      <c r="G89" s="6"/>
      <c r="H89" s="6" t="str">
        <f t="shared" si="26"/>
        <v>P</v>
      </c>
      <c r="I89" s="5"/>
      <c r="J89" s="5"/>
    </row>
    <row r="90" spans="1:10" ht="156" x14ac:dyDescent="0.25">
      <c r="A90" s="4" t="s">
        <v>475</v>
      </c>
      <c r="B90" s="5" t="s">
        <v>455</v>
      </c>
      <c r="C90" s="5" t="s">
        <v>490</v>
      </c>
      <c r="D90" s="5" t="s">
        <v>424</v>
      </c>
      <c r="E90" s="6" t="s">
        <v>18</v>
      </c>
      <c r="F90" s="6"/>
      <c r="G90" s="6"/>
      <c r="H90" s="6" t="str">
        <f t="shared" si="26"/>
        <v>P</v>
      </c>
      <c r="I90" s="5"/>
      <c r="J90" s="5"/>
    </row>
    <row r="91" spans="1:10" ht="156" x14ac:dyDescent="0.25">
      <c r="A91" s="4" t="s">
        <v>476</v>
      </c>
      <c r="B91" s="5" t="s">
        <v>455</v>
      </c>
      <c r="C91" s="5" t="s">
        <v>491</v>
      </c>
      <c r="D91" s="5" t="s">
        <v>426</v>
      </c>
      <c r="E91" s="6" t="s">
        <v>18</v>
      </c>
      <c r="F91" s="6"/>
      <c r="G91" s="6"/>
      <c r="H91" s="6" t="str">
        <f t="shared" si="26"/>
        <v>P</v>
      </c>
      <c r="I91" s="5"/>
      <c r="J91" s="5"/>
    </row>
    <row r="92" spans="1:10" ht="156" x14ac:dyDescent="0.25">
      <c r="A92" s="4" t="s">
        <v>477</v>
      </c>
      <c r="B92" s="5" t="s">
        <v>455</v>
      </c>
      <c r="C92" s="5" t="s">
        <v>492</v>
      </c>
      <c r="D92" s="5" t="s">
        <v>428</v>
      </c>
      <c r="E92" s="6" t="s">
        <v>18</v>
      </c>
      <c r="F92" s="6"/>
      <c r="G92" s="6"/>
      <c r="H92" s="6" t="str">
        <f t="shared" si="26"/>
        <v>P</v>
      </c>
      <c r="I92" s="5"/>
      <c r="J92" s="5"/>
    </row>
    <row r="93" spans="1:10" ht="156" x14ac:dyDescent="0.25">
      <c r="A93" s="4" t="s">
        <v>478</v>
      </c>
      <c r="B93" s="5" t="s">
        <v>455</v>
      </c>
      <c r="C93" s="5" t="s">
        <v>493</v>
      </c>
      <c r="D93" s="5" t="s">
        <v>429</v>
      </c>
      <c r="E93" s="6" t="s">
        <v>18</v>
      </c>
      <c r="F93" s="6"/>
      <c r="G93" s="6"/>
      <c r="H93" s="6" t="str">
        <f t="shared" si="26"/>
        <v>P</v>
      </c>
      <c r="I93" s="5"/>
      <c r="J93" s="5"/>
    </row>
    <row r="94" spans="1:10" ht="156" x14ac:dyDescent="0.25">
      <c r="A94" s="4" t="s">
        <v>479</v>
      </c>
      <c r="B94" s="5" t="s">
        <v>455</v>
      </c>
      <c r="C94" s="5" t="s">
        <v>494</v>
      </c>
      <c r="D94" s="5" t="s">
        <v>432</v>
      </c>
      <c r="E94" s="6" t="s">
        <v>18</v>
      </c>
      <c r="F94" s="6"/>
      <c r="G94" s="6"/>
      <c r="H94" s="6" t="str">
        <f t="shared" si="26"/>
        <v>P</v>
      </c>
      <c r="I94" s="5"/>
      <c r="J94" s="5"/>
    </row>
    <row r="95" spans="1:10" ht="156" x14ac:dyDescent="0.25">
      <c r="A95" s="4" t="s">
        <v>480</v>
      </c>
      <c r="B95" s="5" t="s">
        <v>455</v>
      </c>
      <c r="C95" s="5" t="s">
        <v>495</v>
      </c>
      <c r="D95" s="5" t="s">
        <v>435</v>
      </c>
      <c r="E95" s="6" t="s">
        <v>18</v>
      </c>
      <c r="F95" s="6"/>
      <c r="G95" s="6"/>
      <c r="H95" s="6" t="str">
        <f t="shared" si="26"/>
        <v>P</v>
      </c>
      <c r="I95" s="5"/>
      <c r="J95" s="5"/>
    </row>
    <row r="96" spans="1:10" ht="171.6" x14ac:dyDescent="0.25">
      <c r="A96" s="4" t="s">
        <v>481</v>
      </c>
      <c r="B96" s="5" t="s">
        <v>455</v>
      </c>
      <c r="C96" s="5" t="s">
        <v>496</v>
      </c>
      <c r="D96" s="5" t="s">
        <v>437</v>
      </c>
      <c r="E96" s="6" t="s">
        <v>18</v>
      </c>
      <c r="F96" s="6"/>
      <c r="G96" s="6"/>
      <c r="H96" s="6" t="str">
        <f t="shared" si="26"/>
        <v>P</v>
      </c>
      <c r="I96" s="5"/>
      <c r="J96" s="5"/>
    </row>
    <row r="97" spans="1:10" ht="171.6" x14ac:dyDescent="0.25">
      <c r="A97" s="4" t="s">
        <v>482</v>
      </c>
      <c r="B97" s="5" t="s">
        <v>483</v>
      </c>
      <c r="C97" s="5" t="s">
        <v>497</v>
      </c>
      <c r="D97" s="5" t="s">
        <v>485</v>
      </c>
      <c r="E97" s="6" t="s">
        <v>18</v>
      </c>
      <c r="F97" s="6"/>
      <c r="G97" s="6"/>
      <c r="H97" s="6" t="str">
        <f t="shared" si="26"/>
        <v>P</v>
      </c>
      <c r="I97" s="5"/>
      <c r="J97" s="5"/>
    </row>
  </sheetData>
  <mergeCells count="1">
    <mergeCell ref="C1:D1"/>
  </mergeCells>
  <phoneticPr fontId="2" type="noConversion"/>
  <conditionalFormatting sqref="H11:H16">
    <cfRule type="expression" dxfId="62" priority="20">
      <formula>IF(H11="F",TRUE,FALSE)</formula>
    </cfRule>
    <cfRule type="expression" dxfId="61" priority="21">
      <formula>IF(H11="P",TRUE,FALSE)</formula>
    </cfRule>
  </conditionalFormatting>
  <conditionalFormatting sqref="H11:H16">
    <cfRule type="expression" dxfId="60" priority="19">
      <formula>IF(H11="PE",TRUE,FALSE)</formula>
    </cfRule>
  </conditionalFormatting>
  <conditionalFormatting sqref="H17:H60">
    <cfRule type="expression" dxfId="59" priority="17">
      <formula>IF(H17="F",TRUE,FALSE)</formula>
    </cfRule>
    <cfRule type="expression" dxfId="58" priority="18">
      <formula>IF(H17="P",TRUE,FALSE)</formula>
    </cfRule>
  </conditionalFormatting>
  <conditionalFormatting sqref="H17:H60">
    <cfRule type="expression" dxfId="57" priority="16">
      <formula>IF(H17="PE",TRUE,FALSE)</formula>
    </cfRule>
  </conditionalFormatting>
  <conditionalFormatting sqref="H61">
    <cfRule type="expression" dxfId="56" priority="14">
      <formula>IF(H61="F",TRUE,FALSE)</formula>
    </cfRule>
    <cfRule type="expression" dxfId="55" priority="15">
      <formula>IF(H61="P",TRUE,FALSE)</formula>
    </cfRule>
  </conditionalFormatting>
  <conditionalFormatting sqref="H61">
    <cfRule type="expression" dxfId="54" priority="13">
      <formula>IF(H61="PE",TRUE,FALSE)</formula>
    </cfRule>
  </conditionalFormatting>
  <conditionalFormatting sqref="H62:H70">
    <cfRule type="expression" dxfId="53" priority="11">
      <formula>IF(H62="F",TRUE,FALSE)</formula>
    </cfRule>
    <cfRule type="expression" dxfId="52" priority="12">
      <formula>IF(H62="P",TRUE,FALSE)</formula>
    </cfRule>
  </conditionalFormatting>
  <conditionalFormatting sqref="H62:H70">
    <cfRule type="expression" dxfId="51" priority="10">
      <formula>IF(H62="PE",TRUE,FALSE)</formula>
    </cfRule>
  </conditionalFormatting>
  <conditionalFormatting sqref="H71:H87">
    <cfRule type="expression" dxfId="50" priority="8">
      <formula>IF(H71="F",TRUE,FALSE)</formula>
    </cfRule>
    <cfRule type="expression" dxfId="49" priority="9">
      <formula>IF(H71="P",TRUE,FALSE)</formula>
    </cfRule>
  </conditionalFormatting>
  <conditionalFormatting sqref="H71:H87">
    <cfRule type="expression" dxfId="48" priority="7">
      <formula>IF(H71="PE",TRUE,FALSE)</formula>
    </cfRule>
  </conditionalFormatting>
  <conditionalFormatting sqref="H88">
    <cfRule type="expression" dxfId="47" priority="5">
      <formula>IF(H88="F",TRUE,FALSE)</formula>
    </cfRule>
    <cfRule type="expression" dxfId="46" priority="6">
      <formula>IF(H88="P",TRUE,FALSE)</formula>
    </cfRule>
  </conditionalFormatting>
  <conditionalFormatting sqref="H88">
    <cfRule type="expression" dxfId="45" priority="4">
      <formula>IF(H88="PE",TRUE,FALSE)</formula>
    </cfRule>
  </conditionalFormatting>
  <conditionalFormatting sqref="H89:H97">
    <cfRule type="expression" dxfId="44" priority="2">
      <formula>IF(H89="F",TRUE,FALSE)</formula>
    </cfRule>
    <cfRule type="expression" dxfId="43" priority="3">
      <formula>IF(H89="P",TRUE,FALSE)</formula>
    </cfRule>
  </conditionalFormatting>
  <conditionalFormatting sqref="H89:H97">
    <cfRule type="expression" dxfId="42" priority="1">
      <formula>IF(H89="PE",TRUE,FALSE)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33791-582A-4A22-975D-510AE5C6C866}">
  <dimension ref="A1:J89"/>
  <sheetViews>
    <sheetView topLeftCell="A37" zoomScale="85" zoomScaleNormal="85" workbookViewId="0">
      <selection activeCell="B40" sqref="B40:D40"/>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498</v>
      </c>
      <c r="E2" s="1"/>
      <c r="F2" s="1"/>
      <c r="G2" s="1"/>
      <c r="H2" s="1"/>
      <c r="I2" s="1"/>
      <c r="J2" s="1"/>
    </row>
    <row r="3" spans="1:10" ht="15.6" x14ac:dyDescent="0.3">
      <c r="A3" s="1"/>
      <c r="B3" s="1"/>
      <c r="C3" s="2" t="s">
        <v>2</v>
      </c>
      <c r="D3" s="2" t="str">
        <f>LEFT($A$11,FIND("_",$A$11)-1)</f>
        <v>TTNK</v>
      </c>
      <c r="E3" s="1"/>
      <c r="F3" s="1"/>
      <c r="G3" s="1"/>
      <c r="H3" s="1"/>
      <c r="I3" s="1"/>
      <c r="J3" s="1"/>
    </row>
    <row r="4" spans="1:10" ht="15.6" x14ac:dyDescent="0.3">
      <c r="A4" s="1"/>
      <c r="B4" s="1"/>
      <c r="C4" s="2" t="s">
        <v>3</v>
      </c>
      <c r="D4" s="2">
        <f>COUNTIF(H:H,"P")</f>
        <v>79</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79</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56" x14ac:dyDescent="0.25">
      <c r="A11" s="4" t="s">
        <v>499</v>
      </c>
      <c r="B11" s="5" t="s">
        <v>17</v>
      </c>
      <c r="C11" s="5" t="s">
        <v>751</v>
      </c>
      <c r="D11" s="5" t="s">
        <v>752</v>
      </c>
      <c r="E11" s="6" t="s">
        <v>18</v>
      </c>
      <c r="F11" s="6"/>
      <c r="G11" s="6"/>
      <c r="H11" s="6" t="str">
        <f t="shared" ref="H11:H39" si="0">IF(ISBLANK(G11),IF(ISBLANK(F11),IF(ISBLANK(E11),"",E11),F11),G11)</f>
        <v>P</v>
      </c>
      <c r="I11" s="5"/>
      <c r="J11" s="5"/>
    </row>
    <row r="12" spans="1:10" ht="156" x14ac:dyDescent="0.25">
      <c r="A12" s="4" t="s">
        <v>500</v>
      </c>
      <c r="B12" s="5" t="s">
        <v>24</v>
      </c>
      <c r="C12" s="5" t="s">
        <v>312</v>
      </c>
      <c r="D12" s="5" t="s">
        <v>311</v>
      </c>
      <c r="E12" s="6" t="s">
        <v>18</v>
      </c>
      <c r="F12" s="6"/>
      <c r="G12" s="6"/>
      <c r="H12" s="6" t="str">
        <f t="shared" si="0"/>
        <v>P</v>
      </c>
      <c r="I12" s="5"/>
      <c r="J12" s="5"/>
    </row>
    <row r="13" spans="1:10" ht="31.2" x14ac:dyDescent="0.25">
      <c r="A13" s="4" t="s">
        <v>501</v>
      </c>
      <c r="B13" s="5" t="s">
        <v>28</v>
      </c>
      <c r="C13" s="5" t="s">
        <v>29</v>
      </c>
      <c r="D13" s="5" t="s">
        <v>30</v>
      </c>
      <c r="E13" s="6" t="s">
        <v>18</v>
      </c>
      <c r="F13" s="6"/>
      <c r="G13" s="6"/>
      <c r="H13" s="6" t="str">
        <f t="shared" si="0"/>
        <v>P</v>
      </c>
      <c r="I13" s="5"/>
      <c r="J13" s="5"/>
    </row>
    <row r="14" spans="1:10" ht="46.8" x14ac:dyDescent="0.25">
      <c r="A14" s="4" t="s">
        <v>502</v>
      </c>
      <c r="B14" s="5" t="s">
        <v>32</v>
      </c>
      <c r="C14" s="5" t="s">
        <v>33</v>
      </c>
      <c r="D14" s="5" t="s">
        <v>34</v>
      </c>
      <c r="E14" s="6" t="s">
        <v>18</v>
      </c>
      <c r="F14" s="6"/>
      <c r="G14" s="6"/>
      <c r="H14" s="6" t="str">
        <f t="shared" si="0"/>
        <v>P</v>
      </c>
      <c r="I14" s="5"/>
      <c r="J14" s="5"/>
    </row>
    <row r="15" spans="1:10" ht="187.2" x14ac:dyDescent="0.25">
      <c r="A15" s="4" t="s">
        <v>503</v>
      </c>
      <c r="B15" s="5" t="s">
        <v>313</v>
      </c>
      <c r="C15" s="5" t="s">
        <v>178</v>
      </c>
      <c r="D15" s="5" t="s">
        <v>753</v>
      </c>
      <c r="E15" s="6" t="s">
        <v>18</v>
      </c>
      <c r="F15" s="6"/>
      <c r="G15" s="6"/>
      <c r="H15" s="6" t="str">
        <f t="shared" si="0"/>
        <v>P</v>
      </c>
      <c r="I15" s="5"/>
      <c r="J15" s="5"/>
    </row>
    <row r="16" spans="1:10" ht="78" x14ac:dyDescent="0.25">
      <c r="A16" s="4" t="s">
        <v>504</v>
      </c>
      <c r="B16" s="5" t="s">
        <v>315</v>
      </c>
      <c r="C16" s="5" t="s">
        <v>87</v>
      </c>
      <c r="D16" s="5" t="s">
        <v>88</v>
      </c>
      <c r="E16" s="6" t="s">
        <v>18</v>
      </c>
      <c r="F16" s="6"/>
      <c r="G16" s="6"/>
      <c r="H16" s="6" t="str">
        <f t="shared" si="0"/>
        <v>P</v>
      </c>
      <c r="I16" s="5"/>
      <c r="J16" s="5"/>
    </row>
    <row r="17" spans="1:10" ht="15.6" x14ac:dyDescent="0.25">
      <c r="A17" s="4" t="s">
        <v>505</v>
      </c>
      <c r="B17" s="5" t="s">
        <v>316</v>
      </c>
      <c r="C17" s="5" t="s">
        <v>41</v>
      </c>
      <c r="D17" s="5" t="s">
        <v>42</v>
      </c>
      <c r="E17" s="6" t="s">
        <v>18</v>
      </c>
      <c r="F17" s="6"/>
      <c r="G17" s="6"/>
      <c r="H17" s="6" t="str">
        <f t="shared" si="0"/>
        <v>P</v>
      </c>
      <c r="I17" s="5"/>
      <c r="J17" s="5"/>
    </row>
    <row r="18" spans="1:10" ht="31.2" x14ac:dyDescent="0.25">
      <c r="A18" s="4" t="s">
        <v>506</v>
      </c>
      <c r="B18" s="5" t="s">
        <v>552</v>
      </c>
      <c r="C18" s="5" t="s">
        <v>41</v>
      </c>
      <c r="D18" s="5" t="s">
        <v>42</v>
      </c>
      <c r="E18" s="6" t="s">
        <v>18</v>
      </c>
      <c r="F18" s="6"/>
      <c r="G18" s="6"/>
      <c r="H18" s="6" t="str">
        <f t="shared" si="0"/>
        <v>P</v>
      </c>
      <c r="I18" s="5"/>
      <c r="J18" s="5"/>
    </row>
    <row r="19" spans="1:10" ht="31.2" x14ac:dyDescent="0.25">
      <c r="A19" s="4" t="s">
        <v>507</v>
      </c>
      <c r="B19" s="5" t="s">
        <v>553</v>
      </c>
      <c r="C19" s="5" t="s">
        <v>41</v>
      </c>
      <c r="D19" s="5" t="s">
        <v>42</v>
      </c>
      <c r="E19" s="6" t="s">
        <v>18</v>
      </c>
      <c r="F19" s="6"/>
      <c r="G19" s="6"/>
      <c r="H19" s="6" t="str">
        <f t="shared" si="0"/>
        <v>P</v>
      </c>
      <c r="I19" s="5"/>
      <c r="J19" s="5"/>
    </row>
    <row r="20" spans="1:10" ht="31.2" x14ac:dyDescent="0.25">
      <c r="A20" s="4" t="s">
        <v>508</v>
      </c>
      <c r="B20" s="5" t="s">
        <v>554</v>
      </c>
      <c r="C20" s="5" t="s">
        <v>41</v>
      </c>
      <c r="D20" s="5" t="s">
        <v>42</v>
      </c>
      <c r="E20" s="6" t="s">
        <v>18</v>
      </c>
      <c r="F20" s="6"/>
      <c r="G20" s="6"/>
      <c r="H20" s="6" t="str">
        <f t="shared" si="0"/>
        <v>P</v>
      </c>
      <c r="I20" s="5"/>
      <c r="J20" s="5"/>
    </row>
    <row r="21" spans="1:10" ht="31.2" x14ac:dyDescent="0.25">
      <c r="A21" s="4" t="s">
        <v>509</v>
      </c>
      <c r="B21" s="5" t="s">
        <v>555</v>
      </c>
      <c r="C21" s="5" t="s">
        <v>41</v>
      </c>
      <c r="D21" s="5" t="s">
        <v>42</v>
      </c>
      <c r="E21" s="6" t="s">
        <v>18</v>
      </c>
      <c r="F21" s="6"/>
      <c r="G21" s="6"/>
      <c r="H21" s="6" t="str">
        <f t="shared" si="0"/>
        <v>P</v>
      </c>
      <c r="I21" s="5"/>
      <c r="J21" s="5"/>
    </row>
    <row r="22" spans="1:10" ht="15.6" x14ac:dyDescent="0.25">
      <c r="A22" s="4" t="s">
        <v>510</v>
      </c>
      <c r="B22" s="5" t="s">
        <v>322</v>
      </c>
      <c r="C22" s="5" t="s">
        <v>41</v>
      </c>
      <c r="D22" s="5" t="s">
        <v>42</v>
      </c>
      <c r="E22" s="6" t="s">
        <v>18</v>
      </c>
      <c r="F22" s="6"/>
      <c r="G22" s="6"/>
      <c r="H22" s="6" t="str">
        <f t="shared" si="0"/>
        <v>P</v>
      </c>
      <c r="I22" s="5"/>
      <c r="J22" s="5"/>
    </row>
    <row r="23" spans="1:10" ht="15.6" x14ac:dyDescent="0.25">
      <c r="A23" s="4" t="s">
        <v>511</v>
      </c>
      <c r="B23" s="5" t="s">
        <v>323</v>
      </c>
      <c r="C23" s="5" t="s">
        <v>41</v>
      </c>
      <c r="D23" s="5" t="s">
        <v>42</v>
      </c>
      <c r="E23" s="6" t="s">
        <v>18</v>
      </c>
      <c r="F23" s="6"/>
      <c r="G23" s="6"/>
      <c r="H23" s="6" t="str">
        <f t="shared" si="0"/>
        <v>P</v>
      </c>
      <c r="I23" s="5"/>
      <c r="J23" s="5"/>
    </row>
    <row r="24" spans="1:10" ht="15.6" x14ac:dyDescent="0.25">
      <c r="A24" s="4" t="s">
        <v>512</v>
      </c>
      <c r="B24" s="5" t="s">
        <v>324</v>
      </c>
      <c r="C24" s="5" t="s">
        <v>41</v>
      </c>
      <c r="D24" s="5" t="s">
        <v>42</v>
      </c>
      <c r="E24" s="6" t="s">
        <v>18</v>
      </c>
      <c r="F24" s="6"/>
      <c r="G24" s="6"/>
      <c r="H24" s="6" t="str">
        <f t="shared" si="0"/>
        <v>P</v>
      </c>
      <c r="I24" s="5"/>
      <c r="J24" s="5"/>
    </row>
    <row r="25" spans="1:10" ht="31.2" x14ac:dyDescent="0.25">
      <c r="A25" s="4" t="s">
        <v>513</v>
      </c>
      <c r="B25" s="5" t="s">
        <v>325</v>
      </c>
      <c r="C25" s="5" t="s">
        <v>339</v>
      </c>
      <c r="D25" s="5" t="s">
        <v>366</v>
      </c>
      <c r="E25" s="6" t="s">
        <v>18</v>
      </c>
      <c r="F25" s="6"/>
      <c r="G25" s="6"/>
      <c r="H25" s="6" t="str">
        <f t="shared" si="0"/>
        <v>P</v>
      </c>
      <c r="I25" s="5"/>
      <c r="J25" s="5"/>
    </row>
    <row r="26" spans="1:10" ht="31.2" x14ac:dyDescent="0.25">
      <c r="A26" s="4" t="s">
        <v>514</v>
      </c>
      <c r="B26" s="5" t="s">
        <v>326</v>
      </c>
      <c r="C26" s="5" t="s">
        <v>340</v>
      </c>
      <c r="D26" s="5" t="s">
        <v>365</v>
      </c>
      <c r="E26" s="6" t="s">
        <v>18</v>
      </c>
      <c r="F26" s="6"/>
      <c r="G26" s="6"/>
      <c r="H26" s="6" t="str">
        <f t="shared" si="0"/>
        <v>P</v>
      </c>
      <c r="I26" s="5"/>
      <c r="J26" s="5"/>
    </row>
    <row r="27" spans="1:10" ht="31.2" x14ac:dyDescent="0.25">
      <c r="A27" s="4" t="s">
        <v>515</v>
      </c>
      <c r="B27" s="5" t="s">
        <v>556</v>
      </c>
      <c r="C27" s="5" t="s">
        <v>557</v>
      </c>
      <c r="D27" s="5" t="s">
        <v>558</v>
      </c>
      <c r="E27" s="6" t="s">
        <v>18</v>
      </c>
      <c r="F27" s="6"/>
      <c r="G27" s="6"/>
      <c r="H27" s="6" t="str">
        <f t="shared" si="0"/>
        <v>P</v>
      </c>
      <c r="I27" s="5"/>
      <c r="J27" s="5"/>
    </row>
    <row r="28" spans="1:10" ht="31.2" x14ac:dyDescent="0.25">
      <c r="A28" s="4" t="s">
        <v>516</v>
      </c>
      <c r="B28" s="5" t="s">
        <v>559</v>
      </c>
      <c r="C28" s="5" t="s">
        <v>560</v>
      </c>
      <c r="D28" s="5" t="s">
        <v>561</v>
      </c>
      <c r="E28" s="6" t="s">
        <v>18</v>
      </c>
      <c r="F28" s="6"/>
      <c r="G28" s="6"/>
      <c r="H28" s="6" t="str">
        <f t="shared" si="0"/>
        <v>P</v>
      </c>
      <c r="I28" s="5"/>
      <c r="J28" s="5"/>
    </row>
    <row r="29" spans="1:10" ht="31.2" x14ac:dyDescent="0.25">
      <c r="A29" s="4" t="s">
        <v>517</v>
      </c>
      <c r="B29" s="5" t="s">
        <v>562</v>
      </c>
      <c r="C29" s="5" t="s">
        <v>563</v>
      </c>
      <c r="D29" s="5" t="s">
        <v>564</v>
      </c>
      <c r="E29" s="6" t="s">
        <v>18</v>
      </c>
      <c r="F29" s="6"/>
      <c r="G29" s="6"/>
      <c r="H29" s="6" t="str">
        <f t="shared" si="0"/>
        <v>P</v>
      </c>
      <c r="I29" s="5"/>
      <c r="J29" s="5"/>
    </row>
    <row r="30" spans="1:10" ht="31.2" x14ac:dyDescent="0.25">
      <c r="A30" s="4" t="s">
        <v>518</v>
      </c>
      <c r="B30" s="5" t="s">
        <v>565</v>
      </c>
      <c r="C30" s="5" t="s">
        <v>566</v>
      </c>
      <c r="D30" s="5" t="s">
        <v>567</v>
      </c>
      <c r="E30" s="6" t="s">
        <v>18</v>
      </c>
      <c r="F30" s="6"/>
      <c r="G30" s="6"/>
      <c r="H30" s="6" t="str">
        <f t="shared" si="0"/>
        <v>P</v>
      </c>
      <c r="I30" s="5"/>
      <c r="J30" s="5"/>
    </row>
    <row r="31" spans="1:10" ht="31.2" x14ac:dyDescent="0.25">
      <c r="A31" s="4" t="s">
        <v>519</v>
      </c>
      <c r="B31" s="5" t="s">
        <v>568</v>
      </c>
      <c r="C31" s="5" t="s">
        <v>570</v>
      </c>
      <c r="D31" s="5" t="s">
        <v>572</v>
      </c>
      <c r="E31" s="6" t="s">
        <v>18</v>
      </c>
      <c r="F31" s="6"/>
      <c r="G31" s="6"/>
      <c r="H31" s="6" t="str">
        <f t="shared" si="0"/>
        <v>P</v>
      </c>
      <c r="I31" s="5"/>
      <c r="J31" s="5"/>
    </row>
    <row r="32" spans="1:10" ht="31.2" x14ac:dyDescent="0.25">
      <c r="A32" s="4" t="s">
        <v>520</v>
      </c>
      <c r="B32" s="5" t="s">
        <v>569</v>
      </c>
      <c r="C32" s="5" t="s">
        <v>571</v>
      </c>
      <c r="D32" s="5" t="s">
        <v>573</v>
      </c>
      <c r="E32" s="6" t="s">
        <v>18</v>
      </c>
      <c r="F32" s="6"/>
      <c r="G32" s="6"/>
      <c r="H32" s="6" t="str">
        <f t="shared" si="0"/>
        <v>P</v>
      </c>
      <c r="I32" s="5"/>
      <c r="J32" s="5"/>
    </row>
    <row r="33" spans="1:10" ht="31.2" x14ac:dyDescent="0.25">
      <c r="A33" s="4" t="s">
        <v>521</v>
      </c>
      <c r="B33" s="5" t="s">
        <v>574</v>
      </c>
      <c r="C33" s="5" t="s">
        <v>576</v>
      </c>
      <c r="D33" s="5" t="s">
        <v>578</v>
      </c>
      <c r="E33" s="6" t="s">
        <v>18</v>
      </c>
      <c r="F33" s="6"/>
      <c r="G33" s="6"/>
      <c r="H33" s="6" t="str">
        <f t="shared" si="0"/>
        <v>P</v>
      </c>
      <c r="I33" s="5"/>
      <c r="J33" s="5"/>
    </row>
    <row r="34" spans="1:10" ht="31.2" x14ac:dyDescent="0.25">
      <c r="A34" s="4" t="s">
        <v>522</v>
      </c>
      <c r="B34" s="5" t="s">
        <v>575</v>
      </c>
      <c r="C34" s="5" t="s">
        <v>577</v>
      </c>
      <c r="D34" s="5" t="s">
        <v>579</v>
      </c>
      <c r="E34" s="6" t="s">
        <v>18</v>
      </c>
      <c r="F34" s="6"/>
      <c r="G34" s="6"/>
      <c r="H34" s="6" t="str">
        <f t="shared" si="0"/>
        <v>P</v>
      </c>
      <c r="I34" s="5"/>
      <c r="J34" s="5"/>
    </row>
    <row r="35" spans="1:10" ht="15.6" x14ac:dyDescent="0.25">
      <c r="A35" s="4" t="s">
        <v>523</v>
      </c>
      <c r="B35" s="5" t="s">
        <v>322</v>
      </c>
      <c r="C35" s="5" t="s">
        <v>369</v>
      </c>
      <c r="D35" s="5" t="s">
        <v>367</v>
      </c>
      <c r="E35" s="6" t="s">
        <v>18</v>
      </c>
      <c r="F35" s="6"/>
      <c r="G35" s="6"/>
      <c r="H35" s="6" t="str">
        <f t="shared" si="0"/>
        <v>P</v>
      </c>
      <c r="I35" s="5"/>
      <c r="J35" s="5"/>
    </row>
    <row r="36" spans="1:10" ht="31.2" x14ac:dyDescent="0.25">
      <c r="A36" s="4" t="s">
        <v>524</v>
      </c>
      <c r="B36" s="5" t="s">
        <v>323</v>
      </c>
      <c r="C36" s="5" t="s">
        <v>368</v>
      </c>
      <c r="D36" s="5" t="s">
        <v>371</v>
      </c>
      <c r="E36" s="6" t="s">
        <v>18</v>
      </c>
      <c r="F36" s="6"/>
      <c r="G36" s="6"/>
      <c r="H36" s="6" t="str">
        <f t="shared" si="0"/>
        <v>P</v>
      </c>
      <c r="I36" s="5"/>
      <c r="J36" s="5"/>
    </row>
    <row r="37" spans="1:10" ht="31.2" x14ac:dyDescent="0.25">
      <c r="A37" s="4" t="s">
        <v>525</v>
      </c>
      <c r="B37" s="5" t="s">
        <v>324</v>
      </c>
      <c r="C37" s="5" t="s">
        <v>370</v>
      </c>
      <c r="D37" s="5" t="s">
        <v>372</v>
      </c>
      <c r="E37" s="6" t="s">
        <v>18</v>
      </c>
      <c r="F37" s="6"/>
      <c r="G37" s="6"/>
      <c r="H37" s="6" t="str">
        <f t="shared" si="0"/>
        <v>P</v>
      </c>
      <c r="I37" s="5"/>
      <c r="J37" s="5"/>
    </row>
    <row r="38" spans="1:10" ht="202.8" x14ac:dyDescent="0.25">
      <c r="A38" s="4" t="s">
        <v>526</v>
      </c>
      <c r="B38" s="5" t="s">
        <v>373</v>
      </c>
      <c r="C38" s="5" t="s">
        <v>580</v>
      </c>
      <c r="D38" s="5" t="s">
        <v>582</v>
      </c>
      <c r="E38" s="6" t="s">
        <v>18</v>
      </c>
      <c r="F38" s="6"/>
      <c r="G38" s="6"/>
      <c r="H38" s="6" t="str">
        <f t="shared" si="0"/>
        <v>P</v>
      </c>
      <c r="I38" s="5"/>
      <c r="J38" s="5"/>
    </row>
    <row r="39" spans="1:10" ht="78" x14ac:dyDescent="0.25">
      <c r="A39" s="4" t="s">
        <v>527</v>
      </c>
      <c r="B39" s="5" t="s">
        <v>376</v>
      </c>
      <c r="C39" s="5" t="s">
        <v>87</v>
      </c>
      <c r="D39" s="5" t="s">
        <v>88</v>
      </c>
      <c r="E39" s="6" t="s">
        <v>18</v>
      </c>
      <c r="F39" s="6"/>
      <c r="G39" s="6"/>
      <c r="H39" s="6" t="str">
        <f t="shared" si="0"/>
        <v>P</v>
      </c>
      <c r="I39" s="5"/>
      <c r="J39" s="5"/>
    </row>
    <row r="40" spans="1:10" ht="31.2" x14ac:dyDescent="0.25">
      <c r="A40" s="4" t="s">
        <v>528</v>
      </c>
      <c r="B40" s="5" t="s">
        <v>581</v>
      </c>
      <c r="C40" s="5" t="s">
        <v>41</v>
      </c>
      <c r="D40" s="5" t="s">
        <v>42</v>
      </c>
      <c r="E40" s="6" t="s">
        <v>18</v>
      </c>
      <c r="F40" s="6"/>
      <c r="G40" s="6"/>
      <c r="H40" s="6" t="str">
        <f t="shared" ref="H40" si="1">IF(ISBLANK(G40),IF(ISBLANK(F40),IF(ISBLANK(E40),"",E40),F40),G40)</f>
        <v>P</v>
      </c>
      <c r="I40" s="5"/>
      <c r="J40" s="5"/>
    </row>
    <row r="41" spans="1:10" ht="31.2" x14ac:dyDescent="0.25">
      <c r="A41" s="4" t="s">
        <v>529</v>
      </c>
      <c r="B41" s="5" t="s">
        <v>583</v>
      </c>
      <c r="C41" s="5" t="s">
        <v>41</v>
      </c>
      <c r="D41" s="5" t="s">
        <v>42</v>
      </c>
      <c r="E41" s="6" t="s">
        <v>18</v>
      </c>
      <c r="F41" s="6"/>
      <c r="G41" s="6"/>
      <c r="H41" s="6" t="str">
        <f t="shared" ref="H41" si="2">IF(ISBLANK(G41),IF(ISBLANK(F41),IF(ISBLANK(E41),"",E41),F41),G41)</f>
        <v>P</v>
      </c>
      <c r="I41" s="5"/>
      <c r="J41" s="5"/>
    </row>
    <row r="42" spans="1:10" ht="31.2" x14ac:dyDescent="0.25">
      <c r="A42" s="4" t="s">
        <v>530</v>
      </c>
      <c r="B42" s="5" t="s">
        <v>584</v>
      </c>
      <c r="C42" s="5" t="s">
        <v>41</v>
      </c>
      <c r="D42" s="5" t="s">
        <v>42</v>
      </c>
      <c r="E42" s="6" t="s">
        <v>18</v>
      </c>
      <c r="F42" s="6"/>
      <c r="G42" s="6"/>
      <c r="H42" s="6" t="str">
        <f t="shared" ref="H42" si="3">IF(ISBLANK(G42),IF(ISBLANK(F42),IF(ISBLANK(E42),"",E42),F42),G42)</f>
        <v>P</v>
      </c>
      <c r="I42" s="5"/>
      <c r="J42" s="5"/>
    </row>
    <row r="43" spans="1:10" ht="31.2" x14ac:dyDescent="0.25">
      <c r="A43" s="4" t="s">
        <v>531</v>
      </c>
      <c r="B43" s="5" t="s">
        <v>585</v>
      </c>
      <c r="C43" s="5" t="s">
        <v>41</v>
      </c>
      <c r="D43" s="5" t="s">
        <v>42</v>
      </c>
      <c r="E43" s="6" t="s">
        <v>18</v>
      </c>
      <c r="F43" s="6"/>
      <c r="G43" s="6"/>
      <c r="H43" s="6" t="str">
        <f t="shared" ref="H43" si="4">IF(ISBLANK(G43),IF(ISBLANK(F43),IF(ISBLANK(E43),"",E43),F43),G43)</f>
        <v>P</v>
      </c>
      <c r="I43" s="5"/>
      <c r="J43" s="5"/>
    </row>
    <row r="44" spans="1:10" ht="31.2" x14ac:dyDescent="0.25">
      <c r="A44" s="4" t="s">
        <v>532</v>
      </c>
      <c r="B44" s="5" t="s">
        <v>586</v>
      </c>
      <c r="C44" s="5" t="s">
        <v>41</v>
      </c>
      <c r="D44" s="5" t="s">
        <v>42</v>
      </c>
      <c r="E44" s="6" t="s">
        <v>18</v>
      </c>
      <c r="F44" s="6"/>
      <c r="G44" s="6"/>
      <c r="H44" s="6" t="str">
        <f t="shared" ref="H44:H45" si="5">IF(ISBLANK(G44),IF(ISBLANK(F44),IF(ISBLANK(E44),"",E44),F44),G44)</f>
        <v>P</v>
      </c>
      <c r="I44" s="5"/>
      <c r="J44" s="5"/>
    </row>
    <row r="45" spans="1:10" ht="31.2" x14ac:dyDescent="0.25">
      <c r="A45" s="4" t="s">
        <v>533</v>
      </c>
      <c r="B45" s="5" t="s">
        <v>587</v>
      </c>
      <c r="C45" s="5" t="s">
        <v>41</v>
      </c>
      <c r="D45" s="5" t="s">
        <v>42</v>
      </c>
      <c r="E45" s="6" t="s">
        <v>18</v>
      </c>
      <c r="F45" s="6"/>
      <c r="G45" s="6"/>
      <c r="H45" s="6" t="str">
        <f t="shared" si="5"/>
        <v>P</v>
      </c>
      <c r="I45" s="5"/>
      <c r="J45" s="5"/>
    </row>
    <row r="46" spans="1:10" ht="31.2" x14ac:dyDescent="0.25">
      <c r="A46" s="4" t="s">
        <v>534</v>
      </c>
      <c r="B46" s="5" t="s">
        <v>755</v>
      </c>
      <c r="C46" s="5" t="s">
        <v>41</v>
      </c>
      <c r="D46" s="5" t="s">
        <v>78</v>
      </c>
      <c r="E46" s="6" t="s">
        <v>18</v>
      </c>
      <c r="F46" s="6"/>
      <c r="G46" s="6"/>
      <c r="H46" s="6" t="str">
        <f t="shared" ref="H46" si="6">IF(ISBLANK(G46),IF(ISBLANK(F46),IF(ISBLANK(E46),"",E46),F46),G46)</f>
        <v>P</v>
      </c>
      <c r="I46" s="5"/>
      <c r="J46" s="5"/>
    </row>
    <row r="47" spans="1:10" ht="15.6" x14ac:dyDescent="0.25">
      <c r="A47" s="4" t="s">
        <v>535</v>
      </c>
      <c r="B47" s="5" t="s">
        <v>396</v>
      </c>
      <c r="C47" s="5" t="s">
        <v>41</v>
      </c>
      <c r="D47" s="5" t="s">
        <v>42</v>
      </c>
      <c r="E47" s="6" t="s">
        <v>18</v>
      </c>
      <c r="F47" s="6"/>
      <c r="G47" s="6"/>
      <c r="H47" s="6" t="str">
        <f t="shared" ref="H47" si="7">IF(ISBLANK(G47),IF(ISBLANK(F47),IF(ISBLANK(E47),"",E47),F47),G47)</f>
        <v>P</v>
      </c>
      <c r="I47" s="5"/>
      <c r="J47" s="5"/>
    </row>
    <row r="48" spans="1:10" ht="15.6" x14ac:dyDescent="0.25">
      <c r="A48" s="4" t="s">
        <v>536</v>
      </c>
      <c r="B48" s="5" t="s">
        <v>589</v>
      </c>
      <c r="C48" s="5" t="s">
        <v>41</v>
      </c>
      <c r="D48" s="5" t="s">
        <v>42</v>
      </c>
      <c r="E48" s="6" t="s">
        <v>18</v>
      </c>
      <c r="F48" s="6"/>
      <c r="G48" s="6"/>
      <c r="H48" s="6" t="str">
        <f t="shared" ref="H48" si="8">IF(ISBLANK(G48),IF(ISBLANK(F48),IF(ISBLANK(E48),"",E48),F48),G48)</f>
        <v>P</v>
      </c>
      <c r="I48" s="5"/>
      <c r="J48" s="5"/>
    </row>
    <row r="49" spans="1:10" ht="31.2" x14ac:dyDescent="0.25">
      <c r="A49" s="4" t="s">
        <v>537</v>
      </c>
      <c r="B49" s="5" t="s">
        <v>590</v>
      </c>
      <c r="C49" s="5" t="s">
        <v>591</v>
      </c>
      <c r="D49" s="5" t="s">
        <v>606</v>
      </c>
      <c r="E49" s="6" t="s">
        <v>18</v>
      </c>
      <c r="F49" s="6"/>
      <c r="G49" s="6"/>
      <c r="H49" s="6" t="str">
        <f t="shared" ref="H49" si="9">IF(ISBLANK(G49),IF(ISBLANK(F49),IF(ISBLANK(E49),"",E49),F49),G49)</f>
        <v>P</v>
      </c>
      <c r="I49" s="5"/>
      <c r="J49" s="5"/>
    </row>
    <row r="50" spans="1:10" ht="31.2" x14ac:dyDescent="0.25">
      <c r="A50" s="4" t="s">
        <v>538</v>
      </c>
      <c r="B50" s="5" t="s">
        <v>592</v>
      </c>
      <c r="C50" s="5" t="s">
        <v>599</v>
      </c>
      <c r="D50" s="5" t="s">
        <v>607</v>
      </c>
      <c r="E50" s="6" t="s">
        <v>18</v>
      </c>
      <c r="F50" s="6"/>
      <c r="G50" s="6"/>
      <c r="H50" s="6" t="str">
        <f t="shared" ref="H50:H51" si="10">IF(ISBLANK(G50),IF(ISBLANK(F50),IF(ISBLANK(E50),"",E50),F50),G50)</f>
        <v>P</v>
      </c>
      <c r="I50" s="5"/>
      <c r="J50" s="5"/>
    </row>
    <row r="51" spans="1:10" ht="31.2" x14ac:dyDescent="0.25">
      <c r="A51" s="4" t="s">
        <v>539</v>
      </c>
      <c r="B51" s="5" t="s">
        <v>593</v>
      </c>
      <c r="C51" s="5" t="s">
        <v>600</v>
      </c>
      <c r="D51" s="5" t="s">
        <v>608</v>
      </c>
      <c r="E51" s="6" t="s">
        <v>18</v>
      </c>
      <c r="F51" s="6"/>
      <c r="G51" s="6"/>
      <c r="H51" s="6" t="str">
        <f t="shared" si="10"/>
        <v>P</v>
      </c>
      <c r="I51" s="5"/>
      <c r="J51" s="5"/>
    </row>
    <row r="52" spans="1:10" ht="31.2" x14ac:dyDescent="0.25">
      <c r="A52" s="4" t="s">
        <v>540</v>
      </c>
      <c r="B52" s="5" t="s">
        <v>594</v>
      </c>
      <c r="C52" s="5" t="s">
        <v>601</v>
      </c>
      <c r="D52" s="5" t="s">
        <v>609</v>
      </c>
      <c r="E52" s="6" t="s">
        <v>18</v>
      </c>
      <c r="F52" s="6"/>
      <c r="G52" s="6"/>
      <c r="H52" s="6" t="str">
        <f t="shared" ref="H52:H53" si="11">IF(ISBLANK(G52),IF(ISBLANK(F52),IF(ISBLANK(E52),"",E52),F52),G52)</f>
        <v>P</v>
      </c>
      <c r="I52" s="5"/>
      <c r="J52" s="5"/>
    </row>
    <row r="53" spans="1:10" ht="31.2" x14ac:dyDescent="0.25">
      <c r="A53" s="4" t="s">
        <v>541</v>
      </c>
      <c r="B53" s="5" t="s">
        <v>595</v>
      </c>
      <c r="C53" s="5" t="s">
        <v>602</v>
      </c>
      <c r="D53" s="5" t="s">
        <v>610</v>
      </c>
      <c r="E53" s="6" t="s">
        <v>18</v>
      </c>
      <c r="F53" s="6"/>
      <c r="G53" s="6"/>
      <c r="H53" s="6" t="str">
        <f t="shared" si="11"/>
        <v>P</v>
      </c>
      <c r="I53" s="5"/>
      <c r="J53" s="5"/>
    </row>
    <row r="54" spans="1:10" ht="31.2" x14ac:dyDescent="0.25">
      <c r="A54" s="4" t="s">
        <v>542</v>
      </c>
      <c r="B54" s="5" t="s">
        <v>596</v>
      </c>
      <c r="C54" s="5" t="s">
        <v>603</v>
      </c>
      <c r="D54" s="5" t="s">
        <v>611</v>
      </c>
      <c r="E54" s="6" t="s">
        <v>18</v>
      </c>
      <c r="F54" s="6"/>
      <c r="G54" s="6"/>
      <c r="H54" s="6" t="str">
        <f t="shared" ref="H54:H55" si="12">IF(ISBLANK(G54),IF(ISBLANK(F54),IF(ISBLANK(E54),"",E54),F54),G54)</f>
        <v>P</v>
      </c>
      <c r="I54" s="5"/>
      <c r="J54" s="5"/>
    </row>
    <row r="55" spans="1:10" ht="31.2" x14ac:dyDescent="0.25">
      <c r="A55" s="4" t="s">
        <v>543</v>
      </c>
      <c r="B55" s="5" t="s">
        <v>597</v>
      </c>
      <c r="C55" s="5" t="s">
        <v>604</v>
      </c>
      <c r="D55" s="5" t="s">
        <v>612</v>
      </c>
      <c r="E55" s="6" t="s">
        <v>18</v>
      </c>
      <c r="F55" s="6"/>
      <c r="G55" s="6"/>
      <c r="H55" s="6" t="str">
        <f t="shared" si="12"/>
        <v>P</v>
      </c>
      <c r="I55" s="5"/>
      <c r="J55" s="5"/>
    </row>
    <row r="56" spans="1:10" ht="31.2" x14ac:dyDescent="0.25">
      <c r="A56" s="4" t="s">
        <v>544</v>
      </c>
      <c r="B56" s="5" t="s">
        <v>598</v>
      </c>
      <c r="C56" s="5" t="s">
        <v>605</v>
      </c>
      <c r="D56" s="5" t="s">
        <v>613</v>
      </c>
      <c r="E56" s="6" t="s">
        <v>18</v>
      </c>
      <c r="F56" s="6"/>
      <c r="G56" s="6"/>
      <c r="H56" s="6" t="str">
        <f t="shared" ref="H56" si="13">IF(ISBLANK(G56),IF(ISBLANK(F56),IF(ISBLANK(E56),"",E56),F56),G56)</f>
        <v>P</v>
      </c>
      <c r="I56" s="5"/>
      <c r="J56" s="5"/>
    </row>
    <row r="57" spans="1:10" ht="31.2" x14ac:dyDescent="0.25">
      <c r="A57" s="4" t="s">
        <v>545</v>
      </c>
      <c r="B57" s="5" t="s">
        <v>598</v>
      </c>
      <c r="C57" s="5" t="s">
        <v>605</v>
      </c>
      <c r="D57" s="5" t="s">
        <v>613</v>
      </c>
      <c r="E57" s="6" t="s">
        <v>18</v>
      </c>
      <c r="F57" s="6"/>
      <c r="G57" s="6"/>
      <c r="H57" s="6" t="str">
        <f t="shared" ref="H57" si="14">IF(ISBLANK(G57),IF(ISBLANK(F57),IF(ISBLANK(E57),"",E57),F57),G57)</f>
        <v>P</v>
      </c>
      <c r="I57" s="5"/>
      <c r="J57" s="5"/>
    </row>
    <row r="58" spans="1:10" ht="62.4" x14ac:dyDescent="0.25">
      <c r="A58" s="4" t="s">
        <v>546</v>
      </c>
      <c r="B58" s="5" t="s">
        <v>754</v>
      </c>
      <c r="C58" s="5" t="s">
        <v>756</v>
      </c>
      <c r="D58" s="5" t="s">
        <v>614</v>
      </c>
      <c r="E58" s="6" t="s">
        <v>18</v>
      </c>
      <c r="F58" s="6"/>
      <c r="G58" s="6"/>
      <c r="H58" s="6" t="str">
        <f t="shared" ref="H58" si="15">IF(ISBLANK(G58),IF(ISBLANK(F58),IF(ISBLANK(E58),"",E58),F58),G58)</f>
        <v>P</v>
      </c>
      <c r="I58" s="5"/>
      <c r="J58" s="5"/>
    </row>
    <row r="59" spans="1:10" ht="46.8" x14ac:dyDescent="0.25">
      <c r="A59" s="4" t="s">
        <v>547</v>
      </c>
      <c r="B59" s="5" t="s">
        <v>757</v>
      </c>
      <c r="C59" s="5" t="s">
        <v>758</v>
      </c>
      <c r="D59" s="5" t="s">
        <v>615</v>
      </c>
      <c r="E59" s="6" t="s">
        <v>18</v>
      </c>
      <c r="F59" s="6"/>
      <c r="G59" s="6"/>
      <c r="H59" s="6" t="str">
        <f t="shared" ref="H59" si="16">IF(ISBLANK(G59),IF(ISBLANK(F59),IF(ISBLANK(E59),"",E59),F59),G59)</f>
        <v>P</v>
      </c>
      <c r="I59" s="5"/>
      <c r="J59" s="5"/>
    </row>
    <row r="60" spans="1:10" ht="62.4" x14ac:dyDescent="0.25">
      <c r="A60" s="4" t="s">
        <v>548</v>
      </c>
      <c r="B60" s="5" t="s">
        <v>759</v>
      </c>
      <c r="C60" s="5" t="s">
        <v>760</v>
      </c>
      <c r="D60" s="5" t="s">
        <v>619</v>
      </c>
      <c r="E60" s="6" t="s">
        <v>18</v>
      </c>
      <c r="F60" s="6"/>
      <c r="G60" s="6"/>
      <c r="H60" s="6" t="str">
        <f t="shared" ref="H60" si="17">IF(ISBLANK(G60),IF(ISBLANK(F60),IF(ISBLANK(E60),"",E60),F60),G60)</f>
        <v>P</v>
      </c>
      <c r="I60" s="5"/>
      <c r="J60" s="5"/>
    </row>
    <row r="61" spans="1:10" ht="46.8" x14ac:dyDescent="0.25">
      <c r="A61" s="4" t="s">
        <v>549</v>
      </c>
      <c r="B61" s="5" t="s">
        <v>761</v>
      </c>
      <c r="C61" s="5" t="s">
        <v>762</v>
      </c>
      <c r="D61" s="5" t="s">
        <v>619</v>
      </c>
      <c r="E61" s="6" t="s">
        <v>18</v>
      </c>
      <c r="F61" s="6"/>
      <c r="G61" s="6"/>
      <c r="H61" s="6" t="str">
        <f t="shared" ref="H61" si="18">IF(ISBLANK(G61),IF(ISBLANK(F61),IF(ISBLANK(E61),"",E61),F61),G61)</f>
        <v>P</v>
      </c>
      <c r="I61" s="5"/>
      <c r="J61" s="5"/>
    </row>
    <row r="62" spans="1:10" ht="62.4" x14ac:dyDescent="0.25">
      <c r="A62" s="4" t="s">
        <v>550</v>
      </c>
      <c r="B62" s="5" t="s">
        <v>763</v>
      </c>
      <c r="C62" s="5" t="s">
        <v>621</v>
      </c>
      <c r="D62" s="5" t="s">
        <v>764</v>
      </c>
      <c r="E62" s="6" t="s">
        <v>18</v>
      </c>
      <c r="F62" s="6"/>
      <c r="G62" s="6"/>
      <c r="H62" s="6" t="str">
        <f t="shared" ref="H62" si="19">IF(ISBLANK(G62),IF(ISBLANK(F62),IF(ISBLANK(E62),"",E62),F62),G62)</f>
        <v>P</v>
      </c>
      <c r="I62" s="5"/>
      <c r="J62" s="5"/>
    </row>
    <row r="63" spans="1:10" ht="62.4" x14ac:dyDescent="0.25">
      <c r="A63" s="4" t="s">
        <v>551</v>
      </c>
      <c r="B63" s="5" t="s">
        <v>765</v>
      </c>
      <c r="C63" s="5" t="s">
        <v>623</v>
      </c>
      <c r="D63" s="5" t="s">
        <v>766</v>
      </c>
      <c r="E63" s="6" t="s">
        <v>18</v>
      </c>
      <c r="F63" s="6"/>
      <c r="G63" s="6"/>
      <c r="H63" s="6" t="str">
        <f t="shared" ref="H63:H89" si="20">IF(ISBLANK(G63),IF(ISBLANK(F63),IF(ISBLANK(E63),"",E63),F63),G63)</f>
        <v>P</v>
      </c>
      <c r="I63" s="5"/>
      <c r="J63" s="5"/>
    </row>
    <row r="64" spans="1:10" ht="202.8" x14ac:dyDescent="0.25">
      <c r="A64" s="4" t="s">
        <v>526</v>
      </c>
      <c r="B64" s="5" t="s">
        <v>666</v>
      </c>
      <c r="C64" s="5" t="s">
        <v>580</v>
      </c>
      <c r="D64" s="5" t="s">
        <v>582</v>
      </c>
      <c r="E64" s="6" t="s">
        <v>18</v>
      </c>
      <c r="F64" s="6"/>
      <c r="G64" s="6"/>
      <c r="H64" s="6" t="str">
        <f t="shared" si="20"/>
        <v>P</v>
      </c>
      <c r="I64" s="5"/>
      <c r="J64" s="5"/>
    </row>
    <row r="65" spans="1:10" ht="78" x14ac:dyDescent="0.25">
      <c r="A65" s="4" t="s">
        <v>527</v>
      </c>
      <c r="B65" s="5" t="s">
        <v>667</v>
      </c>
      <c r="C65" s="5" t="s">
        <v>87</v>
      </c>
      <c r="D65" s="5" t="s">
        <v>88</v>
      </c>
      <c r="E65" s="6" t="s">
        <v>18</v>
      </c>
      <c r="F65" s="6"/>
      <c r="G65" s="6"/>
      <c r="H65" s="6" t="str">
        <f t="shared" si="20"/>
        <v>P</v>
      </c>
      <c r="I65" s="5"/>
      <c r="J65" s="5"/>
    </row>
    <row r="66" spans="1:10" ht="31.2" x14ac:dyDescent="0.25">
      <c r="A66" s="4" t="s">
        <v>528</v>
      </c>
      <c r="B66" s="5" t="s">
        <v>631</v>
      </c>
      <c r="C66" s="5" t="s">
        <v>41</v>
      </c>
      <c r="D66" s="5" t="s">
        <v>42</v>
      </c>
      <c r="E66" s="6" t="s">
        <v>18</v>
      </c>
      <c r="F66" s="6"/>
      <c r="G66" s="6"/>
      <c r="H66" s="6" t="str">
        <f t="shared" si="20"/>
        <v>P</v>
      </c>
      <c r="I66" s="5"/>
      <c r="J66" s="5"/>
    </row>
    <row r="67" spans="1:10" ht="31.2" x14ac:dyDescent="0.25">
      <c r="A67" s="4" t="s">
        <v>529</v>
      </c>
      <c r="B67" s="5" t="s">
        <v>632</v>
      </c>
      <c r="C67" s="5" t="s">
        <v>41</v>
      </c>
      <c r="D67" s="5" t="s">
        <v>42</v>
      </c>
      <c r="E67" s="6" t="s">
        <v>18</v>
      </c>
      <c r="F67" s="6"/>
      <c r="G67" s="6"/>
      <c r="H67" s="6" t="str">
        <f t="shared" si="20"/>
        <v>P</v>
      </c>
      <c r="I67" s="5"/>
      <c r="J67" s="5"/>
    </row>
    <row r="68" spans="1:10" ht="31.2" x14ac:dyDescent="0.25">
      <c r="A68" s="4" t="s">
        <v>530</v>
      </c>
      <c r="B68" s="5" t="s">
        <v>633</v>
      </c>
      <c r="C68" s="5" t="s">
        <v>41</v>
      </c>
      <c r="D68" s="5" t="s">
        <v>42</v>
      </c>
      <c r="E68" s="6" t="s">
        <v>18</v>
      </c>
      <c r="F68" s="6"/>
      <c r="G68" s="6"/>
      <c r="H68" s="6" t="str">
        <f t="shared" si="20"/>
        <v>P</v>
      </c>
      <c r="I68" s="5"/>
      <c r="J68" s="5"/>
    </row>
    <row r="69" spans="1:10" ht="31.2" x14ac:dyDescent="0.25">
      <c r="A69" s="4" t="s">
        <v>531</v>
      </c>
      <c r="B69" s="5" t="s">
        <v>634</v>
      </c>
      <c r="C69" s="5" t="s">
        <v>41</v>
      </c>
      <c r="D69" s="5" t="s">
        <v>42</v>
      </c>
      <c r="E69" s="6" t="s">
        <v>18</v>
      </c>
      <c r="F69" s="6"/>
      <c r="G69" s="6"/>
      <c r="H69" s="6" t="str">
        <f t="shared" si="20"/>
        <v>P</v>
      </c>
      <c r="I69" s="5"/>
      <c r="J69" s="5"/>
    </row>
    <row r="70" spans="1:10" ht="31.2" x14ac:dyDescent="0.25">
      <c r="A70" s="4" t="s">
        <v>532</v>
      </c>
      <c r="B70" s="5" t="s">
        <v>635</v>
      </c>
      <c r="C70" s="5" t="s">
        <v>41</v>
      </c>
      <c r="D70" s="5" t="s">
        <v>42</v>
      </c>
      <c r="E70" s="6" t="s">
        <v>18</v>
      </c>
      <c r="F70" s="6"/>
      <c r="G70" s="6"/>
      <c r="H70" s="6" t="str">
        <f t="shared" si="20"/>
        <v>P</v>
      </c>
      <c r="I70" s="5"/>
      <c r="J70" s="5"/>
    </row>
    <row r="71" spans="1:10" ht="31.2" x14ac:dyDescent="0.25">
      <c r="A71" s="4" t="s">
        <v>533</v>
      </c>
      <c r="B71" s="5" t="s">
        <v>636</v>
      </c>
      <c r="C71" s="5" t="s">
        <v>41</v>
      </c>
      <c r="D71" s="5" t="s">
        <v>42</v>
      </c>
      <c r="E71" s="6" t="s">
        <v>18</v>
      </c>
      <c r="F71" s="6"/>
      <c r="G71" s="6"/>
      <c r="H71" s="6" t="str">
        <f t="shared" si="20"/>
        <v>P</v>
      </c>
      <c r="I71" s="5"/>
      <c r="J71" s="5"/>
    </row>
    <row r="72" spans="1:10" ht="31.2" x14ac:dyDescent="0.25">
      <c r="A72" s="4" t="s">
        <v>534</v>
      </c>
      <c r="B72" s="5" t="s">
        <v>767</v>
      </c>
      <c r="C72" s="5" t="s">
        <v>41</v>
      </c>
      <c r="D72" s="5" t="s">
        <v>78</v>
      </c>
      <c r="E72" s="6" t="s">
        <v>18</v>
      </c>
      <c r="F72" s="6"/>
      <c r="G72" s="6"/>
      <c r="H72" s="6" t="str">
        <f t="shared" si="20"/>
        <v>P</v>
      </c>
      <c r="I72" s="5"/>
      <c r="J72" s="5"/>
    </row>
    <row r="73" spans="1:10" ht="15.6" x14ac:dyDescent="0.25">
      <c r="A73" s="4" t="s">
        <v>535</v>
      </c>
      <c r="B73" s="5" t="s">
        <v>451</v>
      </c>
      <c r="C73" s="5" t="s">
        <v>41</v>
      </c>
      <c r="D73" s="5" t="s">
        <v>42</v>
      </c>
      <c r="E73" s="6" t="s">
        <v>18</v>
      </c>
      <c r="F73" s="6"/>
      <c r="G73" s="6"/>
      <c r="H73" s="6" t="str">
        <f t="shared" si="20"/>
        <v>P</v>
      </c>
      <c r="I73" s="5"/>
      <c r="J73" s="5"/>
    </row>
    <row r="74" spans="1:10" ht="15.6" x14ac:dyDescent="0.25">
      <c r="A74" s="4" t="s">
        <v>536</v>
      </c>
      <c r="B74" s="5" t="s">
        <v>483</v>
      </c>
      <c r="C74" s="5" t="s">
        <v>41</v>
      </c>
      <c r="D74" s="5" t="s">
        <v>42</v>
      </c>
      <c r="E74" s="6" t="s">
        <v>18</v>
      </c>
      <c r="F74" s="6"/>
      <c r="G74" s="6"/>
      <c r="H74" s="6" t="str">
        <f t="shared" si="20"/>
        <v>P</v>
      </c>
      <c r="I74" s="5"/>
      <c r="J74" s="5"/>
    </row>
    <row r="75" spans="1:10" ht="31.2" x14ac:dyDescent="0.25">
      <c r="A75" s="4" t="s">
        <v>537</v>
      </c>
      <c r="B75" s="5" t="s">
        <v>638</v>
      </c>
      <c r="C75" s="5" t="s">
        <v>639</v>
      </c>
      <c r="D75" s="5" t="s">
        <v>640</v>
      </c>
      <c r="E75" s="6" t="s">
        <v>18</v>
      </c>
      <c r="F75" s="6"/>
      <c r="G75" s="6"/>
      <c r="H75" s="6" t="str">
        <f t="shared" si="20"/>
        <v>P</v>
      </c>
      <c r="I75" s="5"/>
      <c r="J75" s="5"/>
    </row>
    <row r="76" spans="1:10" ht="31.2" x14ac:dyDescent="0.25">
      <c r="A76" s="4" t="s">
        <v>538</v>
      </c>
      <c r="B76" s="5" t="s">
        <v>641</v>
      </c>
      <c r="C76" s="5" t="s">
        <v>642</v>
      </c>
      <c r="D76" s="5" t="s">
        <v>643</v>
      </c>
      <c r="E76" s="6" t="s">
        <v>18</v>
      </c>
      <c r="F76" s="6"/>
      <c r="G76" s="6"/>
      <c r="H76" s="6" t="str">
        <f t="shared" si="20"/>
        <v>P</v>
      </c>
      <c r="I76" s="5"/>
      <c r="J76" s="5"/>
    </row>
    <row r="77" spans="1:10" ht="31.2" x14ac:dyDescent="0.25">
      <c r="A77" s="4" t="s">
        <v>539</v>
      </c>
      <c r="B77" s="5" t="s">
        <v>644</v>
      </c>
      <c r="C77" s="5" t="s">
        <v>645</v>
      </c>
      <c r="D77" s="5" t="s">
        <v>646</v>
      </c>
      <c r="E77" s="6" t="s">
        <v>18</v>
      </c>
      <c r="F77" s="6"/>
      <c r="G77" s="6"/>
      <c r="H77" s="6" t="str">
        <f t="shared" si="20"/>
        <v>P</v>
      </c>
      <c r="I77" s="5"/>
      <c r="J77" s="5"/>
    </row>
    <row r="78" spans="1:10" ht="31.2" x14ac:dyDescent="0.25">
      <c r="A78" s="4" t="s">
        <v>540</v>
      </c>
      <c r="B78" s="5" t="s">
        <v>647</v>
      </c>
      <c r="C78" s="5" t="s">
        <v>648</v>
      </c>
      <c r="D78" s="5" t="s">
        <v>649</v>
      </c>
      <c r="E78" s="6" t="s">
        <v>18</v>
      </c>
      <c r="F78" s="6"/>
      <c r="G78" s="6"/>
      <c r="H78" s="6" t="str">
        <f t="shared" si="20"/>
        <v>P</v>
      </c>
      <c r="I78" s="5"/>
      <c r="J78" s="5"/>
    </row>
    <row r="79" spans="1:10" ht="31.2" x14ac:dyDescent="0.25">
      <c r="A79" s="4" t="s">
        <v>541</v>
      </c>
      <c r="B79" s="5" t="s">
        <v>650</v>
      </c>
      <c r="C79" s="5" t="s">
        <v>651</v>
      </c>
      <c r="D79" s="5" t="s">
        <v>652</v>
      </c>
      <c r="E79" s="6" t="s">
        <v>18</v>
      </c>
      <c r="F79" s="6"/>
      <c r="G79" s="6"/>
      <c r="H79" s="6" t="str">
        <f t="shared" si="20"/>
        <v>P</v>
      </c>
      <c r="I79" s="5"/>
      <c r="J79" s="5"/>
    </row>
    <row r="80" spans="1:10" ht="31.2" x14ac:dyDescent="0.25">
      <c r="A80" s="4" t="s">
        <v>542</v>
      </c>
      <c r="B80" s="5" t="s">
        <v>653</v>
      </c>
      <c r="C80" s="5" t="s">
        <v>654</v>
      </c>
      <c r="D80" s="5" t="s">
        <v>655</v>
      </c>
      <c r="E80" s="6" t="s">
        <v>18</v>
      </c>
      <c r="F80" s="6"/>
      <c r="G80" s="6"/>
      <c r="H80" s="6" t="str">
        <f t="shared" si="20"/>
        <v>P</v>
      </c>
      <c r="I80" s="5"/>
      <c r="J80" s="5"/>
    </row>
    <row r="81" spans="1:10" ht="31.2" x14ac:dyDescent="0.25">
      <c r="A81" s="4" t="s">
        <v>543</v>
      </c>
      <c r="B81" s="5" t="s">
        <v>656</v>
      </c>
      <c r="C81" s="5" t="s">
        <v>657</v>
      </c>
      <c r="D81" s="5" t="s">
        <v>658</v>
      </c>
      <c r="E81" s="6" t="s">
        <v>18</v>
      </c>
      <c r="F81" s="6"/>
      <c r="G81" s="6"/>
      <c r="H81" s="6" t="str">
        <f t="shared" si="20"/>
        <v>P</v>
      </c>
      <c r="I81" s="5"/>
      <c r="J81" s="5"/>
    </row>
    <row r="82" spans="1:10" ht="31.2" x14ac:dyDescent="0.25">
      <c r="A82" s="4" t="s">
        <v>544</v>
      </c>
      <c r="B82" s="5" t="s">
        <v>659</v>
      </c>
      <c r="C82" s="5" t="s">
        <v>660</v>
      </c>
      <c r="D82" s="5" t="s">
        <v>661</v>
      </c>
      <c r="E82" s="6" t="s">
        <v>18</v>
      </c>
      <c r="F82" s="6"/>
      <c r="G82" s="6"/>
      <c r="H82" s="6" t="str">
        <f t="shared" si="20"/>
        <v>P</v>
      </c>
      <c r="I82" s="5"/>
      <c r="J82" s="5"/>
    </row>
    <row r="83" spans="1:10" ht="31.2" x14ac:dyDescent="0.25">
      <c r="A83" s="4" t="s">
        <v>545</v>
      </c>
      <c r="B83" s="5" t="s">
        <v>659</v>
      </c>
      <c r="C83" s="5" t="s">
        <v>660</v>
      </c>
      <c r="D83" s="5" t="s">
        <v>661</v>
      </c>
      <c r="E83" s="6" t="s">
        <v>18</v>
      </c>
      <c r="F83" s="6"/>
      <c r="G83" s="6"/>
      <c r="H83" s="6" t="str">
        <f t="shared" si="20"/>
        <v>P</v>
      </c>
      <c r="I83" s="5"/>
      <c r="J83" s="5"/>
    </row>
    <row r="84" spans="1:10" ht="62.4" x14ac:dyDescent="0.25">
      <c r="A84" s="4" t="s">
        <v>546</v>
      </c>
      <c r="B84" s="5" t="s">
        <v>768</v>
      </c>
      <c r="C84" s="5" t="s">
        <v>756</v>
      </c>
      <c r="D84" s="5" t="s">
        <v>669</v>
      </c>
      <c r="E84" s="6" t="s">
        <v>18</v>
      </c>
      <c r="F84" s="6"/>
      <c r="G84" s="6"/>
      <c r="H84" s="6" t="str">
        <f t="shared" si="20"/>
        <v>P</v>
      </c>
      <c r="I84" s="5"/>
      <c r="J84" s="5"/>
    </row>
    <row r="85" spans="1:10" ht="46.8" x14ac:dyDescent="0.25">
      <c r="A85" s="4" t="s">
        <v>547</v>
      </c>
      <c r="B85" s="5" t="s">
        <v>769</v>
      </c>
      <c r="C85" s="5" t="s">
        <v>758</v>
      </c>
      <c r="D85" s="5" t="s">
        <v>615</v>
      </c>
      <c r="E85" s="6" t="s">
        <v>18</v>
      </c>
      <c r="F85" s="6"/>
      <c r="G85" s="6"/>
      <c r="H85" s="6" t="str">
        <f t="shared" si="20"/>
        <v>P</v>
      </c>
      <c r="I85" s="5"/>
      <c r="J85" s="5"/>
    </row>
    <row r="86" spans="1:10" ht="62.4" x14ac:dyDescent="0.25">
      <c r="A86" s="4" t="s">
        <v>548</v>
      </c>
      <c r="B86" s="5" t="s">
        <v>770</v>
      </c>
      <c r="C86" s="5" t="s">
        <v>760</v>
      </c>
      <c r="D86" s="5" t="s">
        <v>619</v>
      </c>
      <c r="E86" s="6" t="s">
        <v>18</v>
      </c>
      <c r="F86" s="6"/>
      <c r="G86" s="6"/>
      <c r="H86" s="6" t="str">
        <f t="shared" si="20"/>
        <v>P</v>
      </c>
      <c r="I86" s="5"/>
      <c r="J86" s="5"/>
    </row>
    <row r="87" spans="1:10" ht="46.8" x14ac:dyDescent="0.25">
      <c r="A87" s="4" t="s">
        <v>549</v>
      </c>
      <c r="B87" s="5" t="s">
        <v>771</v>
      </c>
      <c r="C87" s="5" t="s">
        <v>762</v>
      </c>
      <c r="D87" s="5" t="s">
        <v>619</v>
      </c>
      <c r="E87" s="6" t="s">
        <v>18</v>
      </c>
      <c r="F87" s="6"/>
      <c r="G87" s="6"/>
      <c r="H87" s="6" t="str">
        <f t="shared" si="20"/>
        <v>P</v>
      </c>
      <c r="I87" s="5"/>
      <c r="J87" s="5"/>
    </row>
    <row r="88" spans="1:10" ht="62.4" x14ac:dyDescent="0.25">
      <c r="A88" s="4" t="s">
        <v>550</v>
      </c>
      <c r="B88" s="5" t="s">
        <v>772</v>
      </c>
      <c r="C88" s="5" t="s">
        <v>621</v>
      </c>
      <c r="D88" s="5" t="s">
        <v>773</v>
      </c>
      <c r="E88" s="6" t="s">
        <v>18</v>
      </c>
      <c r="F88" s="6"/>
      <c r="G88" s="6"/>
      <c r="H88" s="6" t="str">
        <f t="shared" si="20"/>
        <v>P</v>
      </c>
      <c r="I88" s="5"/>
      <c r="J88" s="5"/>
    </row>
    <row r="89" spans="1:10" ht="62.4" x14ac:dyDescent="0.25">
      <c r="A89" s="4" t="s">
        <v>551</v>
      </c>
      <c r="B89" s="5" t="s">
        <v>774</v>
      </c>
      <c r="C89" s="5" t="s">
        <v>623</v>
      </c>
      <c r="D89" s="5" t="s">
        <v>775</v>
      </c>
      <c r="E89" s="6" t="s">
        <v>18</v>
      </c>
      <c r="F89" s="6"/>
      <c r="G89" s="6"/>
      <c r="H89" s="6" t="str">
        <f t="shared" si="20"/>
        <v>P</v>
      </c>
      <c r="I89" s="5"/>
      <c r="J89" s="5"/>
    </row>
  </sheetData>
  <mergeCells count="1">
    <mergeCell ref="C1:D1"/>
  </mergeCells>
  <phoneticPr fontId="2" type="noConversion"/>
  <conditionalFormatting sqref="H11:H44">
    <cfRule type="expression" dxfId="41" priority="29">
      <formula>IF(H11="F",TRUE,FALSE)</formula>
    </cfRule>
    <cfRule type="expression" dxfId="40" priority="30">
      <formula>IF(H11="P",TRUE,FALSE)</formula>
    </cfRule>
  </conditionalFormatting>
  <conditionalFormatting sqref="H11:H44">
    <cfRule type="expression" dxfId="39" priority="28">
      <formula>IF(H11="PE",TRUE,FALSE)</formula>
    </cfRule>
  </conditionalFormatting>
  <conditionalFormatting sqref="H45:H63">
    <cfRule type="expression" dxfId="38" priority="8">
      <formula>IF(H45="F",TRUE,FALSE)</formula>
    </cfRule>
    <cfRule type="expression" dxfId="37" priority="9">
      <formula>IF(H45="P",TRUE,FALSE)</formula>
    </cfRule>
  </conditionalFormatting>
  <conditionalFormatting sqref="H45:H63">
    <cfRule type="expression" dxfId="36" priority="7">
      <formula>IF(H45="PE",TRUE,FALSE)</formula>
    </cfRule>
  </conditionalFormatting>
  <conditionalFormatting sqref="H64:H70">
    <cfRule type="expression" dxfId="35" priority="5">
      <formula>IF(H64="F",TRUE,FALSE)</formula>
    </cfRule>
    <cfRule type="expression" dxfId="34" priority="6">
      <formula>IF(H64="P",TRUE,FALSE)</formula>
    </cfRule>
  </conditionalFormatting>
  <conditionalFormatting sqref="H64:H70">
    <cfRule type="expression" dxfId="33" priority="4">
      <formula>IF(H64="PE",TRUE,FALSE)</formula>
    </cfRule>
  </conditionalFormatting>
  <conditionalFormatting sqref="H71:H89">
    <cfRule type="expression" dxfId="32" priority="2">
      <formula>IF(H71="F",TRUE,FALSE)</formula>
    </cfRule>
    <cfRule type="expression" dxfId="31" priority="3">
      <formula>IF(H71="P",TRUE,FALSE)</formula>
    </cfRule>
  </conditionalFormatting>
  <conditionalFormatting sqref="H71:H89">
    <cfRule type="expression" dxfId="30" priority="1">
      <formula>IF(H71="PE",TRUE,FALSE)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3743F-66D1-4608-832B-8E000621DCAA}">
  <dimension ref="A1:J87"/>
  <sheetViews>
    <sheetView zoomScale="85" zoomScaleNormal="85" workbookViewId="0">
      <selection activeCell="A64" sqref="A64:A87"/>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673</v>
      </c>
      <c r="E2" s="1"/>
      <c r="F2" s="1"/>
      <c r="G2" s="1"/>
      <c r="H2" s="1"/>
      <c r="I2" s="1"/>
      <c r="J2" s="1"/>
    </row>
    <row r="3" spans="1:10" ht="15.6" x14ac:dyDescent="0.3">
      <c r="A3" s="1"/>
      <c r="B3" s="1"/>
      <c r="C3" s="2" t="s">
        <v>2</v>
      </c>
      <c r="D3" s="2" t="str">
        <f>LEFT($A$11,FIND("_",$A$11)-1)</f>
        <v>TTXK</v>
      </c>
      <c r="E3" s="1"/>
      <c r="F3" s="1"/>
      <c r="G3" s="1"/>
      <c r="H3" s="1"/>
      <c r="I3" s="1"/>
      <c r="J3" s="1"/>
    </row>
    <row r="4" spans="1:10" ht="15.6" x14ac:dyDescent="0.3">
      <c r="A4" s="1"/>
      <c r="B4" s="1"/>
      <c r="C4" s="2" t="s">
        <v>3</v>
      </c>
      <c r="D4" s="2">
        <f>COUNTIF(H:H,"P")</f>
        <v>77</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77</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56" x14ac:dyDescent="0.25">
      <c r="A11" s="4" t="s">
        <v>674</v>
      </c>
      <c r="B11" s="5" t="s">
        <v>17</v>
      </c>
      <c r="C11" s="5" t="s">
        <v>751</v>
      </c>
      <c r="D11" s="5" t="s">
        <v>752</v>
      </c>
      <c r="E11" s="6" t="s">
        <v>18</v>
      </c>
      <c r="F11" s="6"/>
      <c r="G11" s="6"/>
      <c r="H11" s="6" t="str">
        <f t="shared" ref="H11:H72" si="0">IF(ISBLANK(G11),IF(ISBLANK(F11),IF(ISBLANK(E11),"",E11),F11),G11)</f>
        <v>P</v>
      </c>
      <c r="I11" s="5"/>
      <c r="J11" s="5"/>
    </row>
    <row r="12" spans="1:10" ht="156" x14ac:dyDescent="0.25">
      <c r="A12" s="4" t="s">
        <v>675</v>
      </c>
      <c r="B12" s="5" t="s">
        <v>24</v>
      </c>
      <c r="C12" s="5" t="s">
        <v>312</v>
      </c>
      <c r="D12" s="5" t="s">
        <v>311</v>
      </c>
      <c r="E12" s="6" t="s">
        <v>18</v>
      </c>
      <c r="F12" s="6"/>
      <c r="G12" s="6"/>
      <c r="H12" s="6" t="str">
        <f t="shared" si="0"/>
        <v>P</v>
      </c>
      <c r="I12" s="5"/>
      <c r="J12" s="5"/>
    </row>
    <row r="13" spans="1:10" ht="31.2" x14ac:dyDescent="0.25">
      <c r="A13" s="4" t="s">
        <v>676</v>
      </c>
      <c r="B13" s="5" t="s">
        <v>28</v>
      </c>
      <c r="C13" s="5" t="s">
        <v>29</v>
      </c>
      <c r="D13" s="5" t="s">
        <v>30</v>
      </c>
      <c r="E13" s="6" t="s">
        <v>18</v>
      </c>
      <c r="F13" s="6"/>
      <c r="G13" s="6"/>
      <c r="H13" s="6" t="str">
        <f t="shared" si="0"/>
        <v>P</v>
      </c>
      <c r="I13" s="5"/>
      <c r="J13" s="5"/>
    </row>
    <row r="14" spans="1:10" ht="46.8" x14ac:dyDescent="0.25">
      <c r="A14" s="4" t="s">
        <v>677</v>
      </c>
      <c r="B14" s="5" t="s">
        <v>32</v>
      </c>
      <c r="C14" s="5" t="s">
        <v>33</v>
      </c>
      <c r="D14" s="5" t="s">
        <v>34</v>
      </c>
      <c r="E14" s="6" t="s">
        <v>18</v>
      </c>
      <c r="F14" s="6"/>
      <c r="G14" s="6"/>
      <c r="H14" s="6" t="str">
        <f t="shared" si="0"/>
        <v>P</v>
      </c>
      <c r="I14" s="5"/>
      <c r="J14" s="5"/>
    </row>
    <row r="15" spans="1:10" ht="187.2" x14ac:dyDescent="0.25">
      <c r="A15" s="4" t="s">
        <v>678</v>
      </c>
      <c r="B15" s="5" t="s">
        <v>313</v>
      </c>
      <c r="C15" s="5" t="s">
        <v>178</v>
      </c>
      <c r="D15" s="5" t="s">
        <v>753</v>
      </c>
      <c r="E15" s="6" t="s">
        <v>18</v>
      </c>
      <c r="F15" s="6"/>
      <c r="G15" s="6"/>
      <c r="H15" s="6" t="str">
        <f t="shared" si="0"/>
        <v>P</v>
      </c>
      <c r="I15" s="5"/>
      <c r="J15" s="5"/>
    </row>
    <row r="16" spans="1:10" ht="78" x14ac:dyDescent="0.25">
      <c r="A16" s="4" t="s">
        <v>679</v>
      </c>
      <c r="B16" s="5" t="s">
        <v>315</v>
      </c>
      <c r="C16" s="5" t="s">
        <v>87</v>
      </c>
      <c r="D16" s="5" t="s">
        <v>88</v>
      </c>
      <c r="E16" s="6" t="s">
        <v>18</v>
      </c>
      <c r="F16" s="6"/>
      <c r="G16" s="6"/>
      <c r="H16" s="6" t="str">
        <f t="shared" si="0"/>
        <v>P</v>
      </c>
      <c r="I16" s="5"/>
      <c r="J16" s="5"/>
    </row>
    <row r="17" spans="1:10" ht="15.6" x14ac:dyDescent="0.25">
      <c r="A17" s="4" t="s">
        <v>680</v>
      </c>
      <c r="B17" s="5" t="s">
        <v>316</v>
      </c>
      <c r="C17" s="5" t="s">
        <v>41</v>
      </c>
      <c r="D17" s="5" t="s">
        <v>42</v>
      </c>
      <c r="E17" s="6" t="s">
        <v>18</v>
      </c>
      <c r="F17" s="6"/>
      <c r="G17" s="6"/>
      <c r="H17" s="6" t="str">
        <f t="shared" si="0"/>
        <v>P</v>
      </c>
      <c r="I17" s="5"/>
      <c r="J17" s="5"/>
    </row>
    <row r="18" spans="1:10" ht="31.2" x14ac:dyDescent="0.25">
      <c r="A18" s="4" t="s">
        <v>681</v>
      </c>
      <c r="B18" s="5" t="s">
        <v>552</v>
      </c>
      <c r="C18" s="5" t="s">
        <v>41</v>
      </c>
      <c r="D18" s="5" t="s">
        <v>42</v>
      </c>
      <c r="E18" s="6" t="s">
        <v>18</v>
      </c>
      <c r="F18" s="6"/>
      <c r="G18" s="6"/>
      <c r="H18" s="6" t="str">
        <f t="shared" si="0"/>
        <v>P</v>
      </c>
      <c r="I18" s="5"/>
      <c r="J18" s="5"/>
    </row>
    <row r="19" spans="1:10" ht="31.2" x14ac:dyDescent="0.25">
      <c r="A19" s="4" t="s">
        <v>682</v>
      </c>
      <c r="B19" s="5" t="s">
        <v>553</v>
      </c>
      <c r="C19" s="5" t="s">
        <v>41</v>
      </c>
      <c r="D19" s="5" t="s">
        <v>42</v>
      </c>
      <c r="E19" s="6" t="s">
        <v>18</v>
      </c>
      <c r="F19" s="6"/>
      <c r="G19" s="6"/>
      <c r="H19" s="6" t="str">
        <f t="shared" si="0"/>
        <v>P</v>
      </c>
      <c r="I19" s="5"/>
      <c r="J19" s="5"/>
    </row>
    <row r="20" spans="1:10" ht="31.2" x14ac:dyDescent="0.25">
      <c r="A20" s="4" t="s">
        <v>683</v>
      </c>
      <c r="B20" s="5" t="s">
        <v>554</v>
      </c>
      <c r="C20" s="5" t="s">
        <v>41</v>
      </c>
      <c r="D20" s="5" t="s">
        <v>42</v>
      </c>
      <c r="E20" s="6" t="s">
        <v>18</v>
      </c>
      <c r="F20" s="6"/>
      <c r="G20" s="6"/>
      <c r="H20" s="6" t="str">
        <f t="shared" si="0"/>
        <v>P</v>
      </c>
      <c r="I20" s="5"/>
      <c r="J20" s="5"/>
    </row>
    <row r="21" spans="1:10" ht="31.2" x14ac:dyDescent="0.25">
      <c r="A21" s="4" t="s">
        <v>684</v>
      </c>
      <c r="B21" s="5" t="s">
        <v>555</v>
      </c>
      <c r="C21" s="5" t="s">
        <v>41</v>
      </c>
      <c r="D21" s="5" t="s">
        <v>42</v>
      </c>
      <c r="E21" s="6" t="s">
        <v>18</v>
      </c>
      <c r="F21" s="6"/>
      <c r="G21" s="6"/>
      <c r="H21" s="6" t="str">
        <f t="shared" si="0"/>
        <v>P</v>
      </c>
      <c r="I21" s="5"/>
      <c r="J21" s="5"/>
    </row>
    <row r="22" spans="1:10" ht="15.6" x14ac:dyDescent="0.25">
      <c r="A22" s="4" t="s">
        <v>685</v>
      </c>
      <c r="B22" s="5" t="s">
        <v>322</v>
      </c>
      <c r="C22" s="5" t="s">
        <v>41</v>
      </c>
      <c r="D22" s="5" t="s">
        <v>42</v>
      </c>
      <c r="E22" s="6" t="s">
        <v>18</v>
      </c>
      <c r="F22" s="6"/>
      <c r="G22" s="6"/>
      <c r="H22" s="6" t="str">
        <f t="shared" si="0"/>
        <v>P</v>
      </c>
      <c r="I22" s="5"/>
      <c r="J22" s="5"/>
    </row>
    <row r="23" spans="1:10" ht="15.6" x14ac:dyDescent="0.25">
      <c r="A23" s="4" t="s">
        <v>686</v>
      </c>
      <c r="B23" s="5" t="s">
        <v>323</v>
      </c>
      <c r="C23" s="5" t="s">
        <v>41</v>
      </c>
      <c r="D23" s="5" t="s">
        <v>42</v>
      </c>
      <c r="E23" s="6" t="s">
        <v>18</v>
      </c>
      <c r="F23" s="6"/>
      <c r="G23" s="6"/>
      <c r="H23" s="6" t="str">
        <f t="shared" si="0"/>
        <v>P</v>
      </c>
      <c r="I23" s="5"/>
      <c r="J23" s="5"/>
    </row>
    <row r="24" spans="1:10" ht="15.6" x14ac:dyDescent="0.25">
      <c r="A24" s="4" t="s">
        <v>687</v>
      </c>
      <c r="B24" s="5" t="s">
        <v>324</v>
      </c>
      <c r="C24" s="5" t="s">
        <v>41</v>
      </c>
      <c r="D24" s="5" t="s">
        <v>42</v>
      </c>
      <c r="E24" s="6" t="s">
        <v>18</v>
      </c>
      <c r="F24" s="6"/>
      <c r="G24" s="6"/>
      <c r="H24" s="6" t="str">
        <f t="shared" si="0"/>
        <v>P</v>
      </c>
      <c r="I24" s="5"/>
      <c r="J24" s="5"/>
    </row>
    <row r="25" spans="1:10" ht="31.2" x14ac:dyDescent="0.25">
      <c r="A25" s="4" t="s">
        <v>688</v>
      </c>
      <c r="B25" s="5" t="s">
        <v>325</v>
      </c>
      <c r="C25" s="5" t="s">
        <v>339</v>
      </c>
      <c r="D25" s="5" t="s">
        <v>366</v>
      </c>
      <c r="E25" s="6" t="s">
        <v>18</v>
      </c>
      <c r="F25" s="6"/>
      <c r="G25" s="6"/>
      <c r="H25" s="6" t="str">
        <f t="shared" si="0"/>
        <v>P</v>
      </c>
      <c r="I25" s="5"/>
      <c r="J25" s="5"/>
    </row>
    <row r="26" spans="1:10" ht="31.2" x14ac:dyDescent="0.25">
      <c r="A26" s="4" t="s">
        <v>689</v>
      </c>
      <c r="B26" s="5" t="s">
        <v>326</v>
      </c>
      <c r="C26" s="5" t="s">
        <v>340</v>
      </c>
      <c r="D26" s="5" t="s">
        <v>365</v>
      </c>
      <c r="E26" s="6" t="s">
        <v>18</v>
      </c>
      <c r="F26" s="6"/>
      <c r="G26" s="6"/>
      <c r="H26" s="6" t="str">
        <f t="shared" si="0"/>
        <v>P</v>
      </c>
      <c r="I26" s="5"/>
      <c r="J26" s="5"/>
    </row>
    <row r="27" spans="1:10" ht="31.2" x14ac:dyDescent="0.25">
      <c r="A27" s="4" t="s">
        <v>690</v>
      </c>
      <c r="B27" s="5" t="s">
        <v>556</v>
      </c>
      <c r="C27" s="5" t="s">
        <v>557</v>
      </c>
      <c r="D27" s="5" t="s">
        <v>558</v>
      </c>
      <c r="E27" s="6" t="s">
        <v>18</v>
      </c>
      <c r="F27" s="6"/>
      <c r="G27" s="6"/>
      <c r="H27" s="6" t="str">
        <f t="shared" si="0"/>
        <v>P</v>
      </c>
      <c r="I27" s="5"/>
      <c r="J27" s="5"/>
    </row>
    <row r="28" spans="1:10" ht="31.2" x14ac:dyDescent="0.25">
      <c r="A28" s="4" t="s">
        <v>691</v>
      </c>
      <c r="B28" s="5" t="s">
        <v>559</v>
      </c>
      <c r="C28" s="5" t="s">
        <v>560</v>
      </c>
      <c r="D28" s="5" t="s">
        <v>561</v>
      </c>
      <c r="E28" s="6" t="s">
        <v>18</v>
      </c>
      <c r="F28" s="6"/>
      <c r="G28" s="6"/>
      <c r="H28" s="6" t="str">
        <f t="shared" si="0"/>
        <v>P</v>
      </c>
      <c r="I28" s="5"/>
      <c r="J28" s="5"/>
    </row>
    <row r="29" spans="1:10" ht="31.2" x14ac:dyDescent="0.25">
      <c r="A29" s="4" t="s">
        <v>692</v>
      </c>
      <c r="B29" s="5" t="s">
        <v>562</v>
      </c>
      <c r="C29" s="5" t="s">
        <v>563</v>
      </c>
      <c r="D29" s="5" t="s">
        <v>564</v>
      </c>
      <c r="E29" s="6" t="s">
        <v>18</v>
      </c>
      <c r="F29" s="6"/>
      <c r="G29" s="6"/>
      <c r="H29" s="6" t="str">
        <f t="shared" si="0"/>
        <v>P</v>
      </c>
      <c r="I29" s="5"/>
      <c r="J29" s="5"/>
    </row>
    <row r="30" spans="1:10" ht="31.2" x14ac:dyDescent="0.25">
      <c r="A30" s="4" t="s">
        <v>693</v>
      </c>
      <c r="B30" s="5" t="s">
        <v>565</v>
      </c>
      <c r="C30" s="5" t="s">
        <v>566</v>
      </c>
      <c r="D30" s="5" t="s">
        <v>567</v>
      </c>
      <c r="E30" s="6" t="s">
        <v>18</v>
      </c>
      <c r="F30" s="6"/>
      <c r="G30" s="6"/>
      <c r="H30" s="6" t="str">
        <f t="shared" si="0"/>
        <v>P</v>
      </c>
      <c r="I30" s="5"/>
      <c r="J30" s="5"/>
    </row>
    <row r="31" spans="1:10" ht="31.2" x14ac:dyDescent="0.25">
      <c r="A31" s="4" t="s">
        <v>694</v>
      </c>
      <c r="B31" s="5" t="s">
        <v>568</v>
      </c>
      <c r="C31" s="5" t="s">
        <v>570</v>
      </c>
      <c r="D31" s="5" t="s">
        <v>572</v>
      </c>
      <c r="E31" s="6" t="s">
        <v>18</v>
      </c>
      <c r="F31" s="6"/>
      <c r="G31" s="6"/>
      <c r="H31" s="6" t="str">
        <f t="shared" si="0"/>
        <v>P</v>
      </c>
      <c r="I31" s="5"/>
      <c r="J31" s="5"/>
    </row>
    <row r="32" spans="1:10" ht="31.2" x14ac:dyDescent="0.25">
      <c r="A32" s="4" t="s">
        <v>695</v>
      </c>
      <c r="B32" s="5" t="s">
        <v>569</v>
      </c>
      <c r="C32" s="5" t="s">
        <v>571</v>
      </c>
      <c r="D32" s="5" t="s">
        <v>573</v>
      </c>
      <c r="E32" s="6" t="s">
        <v>18</v>
      </c>
      <c r="F32" s="6"/>
      <c r="G32" s="6"/>
      <c r="H32" s="6" t="str">
        <f t="shared" si="0"/>
        <v>P</v>
      </c>
      <c r="I32" s="5"/>
      <c r="J32" s="5"/>
    </row>
    <row r="33" spans="1:10" ht="31.2" x14ac:dyDescent="0.25">
      <c r="A33" s="4" t="s">
        <v>696</v>
      </c>
      <c r="B33" s="5" t="s">
        <v>574</v>
      </c>
      <c r="C33" s="5" t="s">
        <v>576</v>
      </c>
      <c r="D33" s="5" t="s">
        <v>578</v>
      </c>
      <c r="E33" s="6" t="s">
        <v>18</v>
      </c>
      <c r="F33" s="6"/>
      <c r="G33" s="6"/>
      <c r="H33" s="6" t="str">
        <f t="shared" si="0"/>
        <v>P</v>
      </c>
      <c r="I33" s="5"/>
      <c r="J33" s="5"/>
    </row>
    <row r="34" spans="1:10" ht="31.2" x14ac:dyDescent="0.25">
      <c r="A34" s="4" t="s">
        <v>697</v>
      </c>
      <c r="B34" s="5" t="s">
        <v>575</v>
      </c>
      <c r="C34" s="5" t="s">
        <v>577</v>
      </c>
      <c r="D34" s="5" t="s">
        <v>579</v>
      </c>
      <c r="E34" s="6" t="s">
        <v>18</v>
      </c>
      <c r="F34" s="6"/>
      <c r="G34" s="6"/>
      <c r="H34" s="6" t="str">
        <f t="shared" si="0"/>
        <v>P</v>
      </c>
      <c r="I34" s="5"/>
      <c r="J34" s="5"/>
    </row>
    <row r="35" spans="1:10" ht="15.6" x14ac:dyDescent="0.25">
      <c r="A35" s="4" t="s">
        <v>698</v>
      </c>
      <c r="B35" s="5" t="s">
        <v>322</v>
      </c>
      <c r="C35" s="5" t="s">
        <v>369</v>
      </c>
      <c r="D35" s="5" t="s">
        <v>367</v>
      </c>
      <c r="E35" s="6" t="s">
        <v>18</v>
      </c>
      <c r="F35" s="6"/>
      <c r="G35" s="6"/>
      <c r="H35" s="6" t="str">
        <f t="shared" si="0"/>
        <v>P</v>
      </c>
      <c r="I35" s="5"/>
      <c r="J35" s="5"/>
    </row>
    <row r="36" spans="1:10" ht="31.2" x14ac:dyDescent="0.25">
      <c r="A36" s="4" t="s">
        <v>699</v>
      </c>
      <c r="B36" s="5" t="s">
        <v>323</v>
      </c>
      <c r="C36" s="5" t="s">
        <v>368</v>
      </c>
      <c r="D36" s="5" t="s">
        <v>371</v>
      </c>
      <c r="E36" s="6" t="s">
        <v>18</v>
      </c>
      <c r="F36" s="6"/>
      <c r="G36" s="6"/>
      <c r="H36" s="6" t="str">
        <f t="shared" si="0"/>
        <v>P</v>
      </c>
      <c r="I36" s="5"/>
      <c r="J36" s="5"/>
    </row>
    <row r="37" spans="1:10" ht="31.2" x14ac:dyDescent="0.25">
      <c r="A37" s="4" t="s">
        <v>700</v>
      </c>
      <c r="B37" s="5" t="s">
        <v>324</v>
      </c>
      <c r="C37" s="5" t="s">
        <v>370</v>
      </c>
      <c r="D37" s="5" t="s">
        <v>372</v>
      </c>
      <c r="E37" s="6" t="s">
        <v>18</v>
      </c>
      <c r="F37" s="6"/>
      <c r="G37" s="6"/>
      <c r="H37" s="6" t="str">
        <f t="shared" si="0"/>
        <v>P</v>
      </c>
      <c r="I37" s="5"/>
      <c r="J37" s="5"/>
    </row>
    <row r="38" spans="1:10" ht="202.8" x14ac:dyDescent="0.25">
      <c r="A38" s="4" t="s">
        <v>701</v>
      </c>
      <c r="B38" s="5" t="s">
        <v>373</v>
      </c>
      <c r="C38" s="5" t="s">
        <v>580</v>
      </c>
      <c r="D38" s="5" t="s">
        <v>582</v>
      </c>
      <c r="E38" s="6" t="s">
        <v>18</v>
      </c>
      <c r="F38" s="6"/>
      <c r="G38" s="6"/>
      <c r="H38" s="6" t="str">
        <f t="shared" si="0"/>
        <v>P</v>
      </c>
      <c r="I38" s="5"/>
      <c r="J38" s="5"/>
    </row>
    <row r="39" spans="1:10" ht="78" x14ac:dyDescent="0.25">
      <c r="A39" s="4" t="s">
        <v>702</v>
      </c>
      <c r="B39" s="5" t="s">
        <v>376</v>
      </c>
      <c r="C39" s="5" t="s">
        <v>87</v>
      </c>
      <c r="D39" s="5" t="s">
        <v>88</v>
      </c>
      <c r="E39" s="6" t="s">
        <v>18</v>
      </c>
      <c r="F39" s="6"/>
      <c r="G39" s="6"/>
      <c r="H39" s="6" t="str">
        <f t="shared" si="0"/>
        <v>P</v>
      </c>
      <c r="I39" s="5"/>
      <c r="J39" s="5"/>
    </row>
    <row r="40" spans="1:10" ht="31.2" x14ac:dyDescent="0.25">
      <c r="A40" s="4" t="s">
        <v>703</v>
      </c>
      <c r="B40" s="5" t="s">
        <v>583</v>
      </c>
      <c r="C40" s="5" t="s">
        <v>41</v>
      </c>
      <c r="D40" s="5" t="s">
        <v>42</v>
      </c>
      <c r="E40" s="6" t="s">
        <v>18</v>
      </c>
      <c r="F40" s="6"/>
      <c r="G40" s="6"/>
      <c r="H40" s="6" t="str">
        <f t="shared" si="0"/>
        <v>P</v>
      </c>
      <c r="I40" s="5"/>
      <c r="J40" s="5"/>
    </row>
    <row r="41" spans="1:10" ht="31.2" x14ac:dyDescent="0.25">
      <c r="A41" s="4" t="s">
        <v>704</v>
      </c>
      <c r="B41" s="5" t="s">
        <v>584</v>
      </c>
      <c r="C41" s="5" t="s">
        <v>41</v>
      </c>
      <c r="D41" s="5" t="s">
        <v>42</v>
      </c>
      <c r="E41" s="6" t="s">
        <v>18</v>
      </c>
      <c r="F41" s="6"/>
      <c r="G41" s="6"/>
      <c r="H41" s="6" t="str">
        <f t="shared" si="0"/>
        <v>P</v>
      </c>
      <c r="I41" s="5"/>
      <c r="J41" s="5"/>
    </row>
    <row r="42" spans="1:10" ht="31.2" x14ac:dyDescent="0.25">
      <c r="A42" s="4" t="s">
        <v>705</v>
      </c>
      <c r="B42" s="5" t="s">
        <v>585</v>
      </c>
      <c r="C42" s="5" t="s">
        <v>41</v>
      </c>
      <c r="D42" s="5" t="s">
        <v>42</v>
      </c>
      <c r="E42" s="6" t="s">
        <v>18</v>
      </c>
      <c r="F42" s="6"/>
      <c r="G42" s="6"/>
      <c r="H42" s="6" t="str">
        <f t="shared" si="0"/>
        <v>P</v>
      </c>
      <c r="I42" s="5"/>
      <c r="J42" s="5"/>
    </row>
    <row r="43" spans="1:10" ht="31.2" x14ac:dyDescent="0.25">
      <c r="A43" s="4" t="s">
        <v>706</v>
      </c>
      <c r="B43" s="5" t="s">
        <v>586</v>
      </c>
      <c r="C43" s="5" t="s">
        <v>41</v>
      </c>
      <c r="D43" s="5" t="s">
        <v>42</v>
      </c>
      <c r="E43" s="6" t="s">
        <v>18</v>
      </c>
      <c r="F43" s="6"/>
      <c r="G43" s="6"/>
      <c r="H43" s="6" t="str">
        <f t="shared" si="0"/>
        <v>P</v>
      </c>
      <c r="I43" s="5"/>
      <c r="J43" s="5"/>
    </row>
    <row r="44" spans="1:10" ht="31.2" x14ac:dyDescent="0.25">
      <c r="A44" s="4" t="s">
        <v>707</v>
      </c>
      <c r="B44" s="5" t="s">
        <v>587</v>
      </c>
      <c r="C44" s="5" t="s">
        <v>41</v>
      </c>
      <c r="D44" s="5" t="s">
        <v>42</v>
      </c>
      <c r="E44" s="6" t="s">
        <v>18</v>
      </c>
      <c r="F44" s="6"/>
      <c r="G44" s="6"/>
      <c r="H44" s="6" t="str">
        <f t="shared" si="0"/>
        <v>P</v>
      </c>
      <c r="I44" s="5"/>
      <c r="J44" s="5"/>
    </row>
    <row r="45" spans="1:10" ht="31.2" x14ac:dyDescent="0.25">
      <c r="A45" s="4" t="s">
        <v>708</v>
      </c>
      <c r="B45" s="5" t="s">
        <v>588</v>
      </c>
      <c r="C45" s="5" t="s">
        <v>41</v>
      </c>
      <c r="D45" s="5" t="s">
        <v>78</v>
      </c>
      <c r="E45" s="6" t="s">
        <v>18</v>
      </c>
      <c r="F45" s="6"/>
      <c r="G45" s="6"/>
      <c r="H45" s="6" t="str">
        <f t="shared" si="0"/>
        <v>P</v>
      </c>
      <c r="I45" s="5"/>
      <c r="J45" s="5"/>
    </row>
    <row r="46" spans="1:10" ht="15.6" x14ac:dyDescent="0.25">
      <c r="A46" s="4" t="s">
        <v>709</v>
      </c>
      <c r="B46" s="5" t="s">
        <v>396</v>
      </c>
      <c r="C46" s="5" t="s">
        <v>41</v>
      </c>
      <c r="D46" s="5" t="s">
        <v>42</v>
      </c>
      <c r="E46" s="6" t="s">
        <v>18</v>
      </c>
      <c r="F46" s="6"/>
      <c r="G46" s="6"/>
      <c r="H46" s="6" t="str">
        <f t="shared" si="0"/>
        <v>P</v>
      </c>
      <c r="I46" s="5"/>
      <c r="J46" s="5"/>
    </row>
    <row r="47" spans="1:10" ht="15.6" x14ac:dyDescent="0.25">
      <c r="A47" s="4" t="s">
        <v>710</v>
      </c>
      <c r="B47" s="5" t="s">
        <v>589</v>
      </c>
      <c r="C47" s="5" t="s">
        <v>41</v>
      </c>
      <c r="D47" s="5" t="s">
        <v>42</v>
      </c>
      <c r="E47" s="6" t="s">
        <v>18</v>
      </c>
      <c r="F47" s="6"/>
      <c r="G47" s="6"/>
      <c r="H47" s="6" t="str">
        <f t="shared" si="0"/>
        <v>P</v>
      </c>
      <c r="I47" s="5"/>
      <c r="J47" s="5"/>
    </row>
    <row r="48" spans="1:10" ht="31.2" x14ac:dyDescent="0.25">
      <c r="A48" s="4" t="s">
        <v>711</v>
      </c>
      <c r="B48" s="5" t="s">
        <v>590</v>
      </c>
      <c r="C48" s="5" t="s">
        <v>591</v>
      </c>
      <c r="D48" s="5" t="s">
        <v>606</v>
      </c>
      <c r="E48" s="6" t="s">
        <v>18</v>
      </c>
      <c r="F48" s="6"/>
      <c r="G48" s="6"/>
      <c r="H48" s="6" t="str">
        <f t="shared" si="0"/>
        <v>P</v>
      </c>
      <c r="I48" s="5"/>
      <c r="J48" s="5"/>
    </row>
    <row r="49" spans="1:10" ht="31.2" x14ac:dyDescent="0.25">
      <c r="A49" s="4" t="s">
        <v>712</v>
      </c>
      <c r="B49" s="5" t="s">
        <v>592</v>
      </c>
      <c r="C49" s="5" t="s">
        <v>599</v>
      </c>
      <c r="D49" s="5" t="s">
        <v>607</v>
      </c>
      <c r="E49" s="6" t="s">
        <v>18</v>
      </c>
      <c r="F49" s="6"/>
      <c r="G49" s="6"/>
      <c r="H49" s="6" t="str">
        <f t="shared" si="0"/>
        <v>P</v>
      </c>
      <c r="I49" s="5"/>
      <c r="J49" s="5"/>
    </row>
    <row r="50" spans="1:10" ht="31.2" x14ac:dyDescent="0.25">
      <c r="A50" s="4" t="s">
        <v>713</v>
      </c>
      <c r="B50" s="5" t="s">
        <v>593</v>
      </c>
      <c r="C50" s="5" t="s">
        <v>600</v>
      </c>
      <c r="D50" s="5" t="s">
        <v>608</v>
      </c>
      <c r="E50" s="6" t="s">
        <v>18</v>
      </c>
      <c r="F50" s="6"/>
      <c r="G50" s="6"/>
      <c r="H50" s="6" t="str">
        <f t="shared" si="0"/>
        <v>P</v>
      </c>
      <c r="I50" s="5"/>
      <c r="J50" s="5"/>
    </row>
    <row r="51" spans="1:10" ht="31.2" x14ac:dyDescent="0.25">
      <c r="A51" s="4" t="s">
        <v>714</v>
      </c>
      <c r="B51" s="5" t="s">
        <v>594</v>
      </c>
      <c r="C51" s="5" t="s">
        <v>601</v>
      </c>
      <c r="D51" s="5" t="s">
        <v>609</v>
      </c>
      <c r="E51" s="6" t="s">
        <v>18</v>
      </c>
      <c r="F51" s="6"/>
      <c r="G51" s="6"/>
      <c r="H51" s="6" t="str">
        <f t="shared" si="0"/>
        <v>P</v>
      </c>
      <c r="I51" s="5"/>
      <c r="J51" s="5"/>
    </row>
    <row r="52" spans="1:10" ht="31.2" x14ac:dyDescent="0.25">
      <c r="A52" s="4" t="s">
        <v>715</v>
      </c>
      <c r="B52" s="5" t="s">
        <v>595</v>
      </c>
      <c r="C52" s="5" t="s">
        <v>602</v>
      </c>
      <c r="D52" s="5" t="s">
        <v>610</v>
      </c>
      <c r="E52" s="6" t="s">
        <v>18</v>
      </c>
      <c r="F52" s="6"/>
      <c r="G52" s="6"/>
      <c r="H52" s="6" t="str">
        <f t="shared" si="0"/>
        <v>P</v>
      </c>
      <c r="I52" s="5"/>
      <c r="J52" s="5"/>
    </row>
    <row r="53" spans="1:10" ht="31.2" x14ac:dyDescent="0.25">
      <c r="A53" s="4" t="s">
        <v>716</v>
      </c>
      <c r="B53" s="5" t="s">
        <v>596</v>
      </c>
      <c r="C53" s="5" t="s">
        <v>603</v>
      </c>
      <c r="D53" s="5" t="s">
        <v>611</v>
      </c>
      <c r="E53" s="6" t="s">
        <v>18</v>
      </c>
      <c r="F53" s="6"/>
      <c r="G53" s="6"/>
      <c r="H53" s="6" t="str">
        <f t="shared" si="0"/>
        <v>P</v>
      </c>
      <c r="I53" s="5"/>
      <c r="J53" s="5"/>
    </row>
    <row r="54" spans="1:10" ht="31.2" x14ac:dyDescent="0.25">
      <c r="A54" s="4" t="s">
        <v>717</v>
      </c>
      <c r="B54" s="5" t="s">
        <v>597</v>
      </c>
      <c r="C54" s="5" t="s">
        <v>604</v>
      </c>
      <c r="D54" s="5" t="s">
        <v>612</v>
      </c>
      <c r="E54" s="6" t="s">
        <v>18</v>
      </c>
      <c r="F54" s="6"/>
      <c r="G54" s="6"/>
      <c r="H54" s="6" t="str">
        <f t="shared" si="0"/>
        <v>P</v>
      </c>
      <c r="I54" s="5"/>
      <c r="J54" s="5"/>
    </row>
    <row r="55" spans="1:10" ht="31.2" x14ac:dyDescent="0.25">
      <c r="A55" s="4" t="s">
        <v>718</v>
      </c>
      <c r="B55" s="5" t="s">
        <v>598</v>
      </c>
      <c r="C55" s="5" t="s">
        <v>605</v>
      </c>
      <c r="D55" s="5" t="s">
        <v>613</v>
      </c>
      <c r="E55" s="6" t="s">
        <v>18</v>
      </c>
      <c r="F55" s="6"/>
      <c r="G55" s="6"/>
      <c r="H55" s="6" t="str">
        <f t="shared" si="0"/>
        <v>P</v>
      </c>
      <c r="I55" s="5"/>
      <c r="J55" s="5"/>
    </row>
    <row r="56" spans="1:10" ht="31.2" x14ac:dyDescent="0.25">
      <c r="A56" s="4" t="s">
        <v>719</v>
      </c>
      <c r="B56" s="5" t="s">
        <v>598</v>
      </c>
      <c r="C56" s="5" t="s">
        <v>605</v>
      </c>
      <c r="D56" s="5" t="s">
        <v>613</v>
      </c>
      <c r="E56" s="6" t="s">
        <v>18</v>
      </c>
      <c r="F56" s="6"/>
      <c r="G56" s="6"/>
      <c r="H56" s="6" t="str">
        <f t="shared" si="0"/>
        <v>P</v>
      </c>
      <c r="I56" s="5"/>
      <c r="J56" s="5"/>
    </row>
    <row r="57" spans="1:10" ht="62.4" x14ac:dyDescent="0.25">
      <c r="A57" s="4" t="s">
        <v>720</v>
      </c>
      <c r="B57" s="5" t="s">
        <v>629</v>
      </c>
      <c r="C57" s="5" t="s">
        <v>617</v>
      </c>
      <c r="D57" s="5" t="s">
        <v>614</v>
      </c>
      <c r="E57" s="6" t="s">
        <v>18</v>
      </c>
      <c r="F57" s="6"/>
      <c r="G57" s="6"/>
      <c r="H57" s="6" t="str">
        <f t="shared" si="0"/>
        <v>P</v>
      </c>
      <c r="I57" s="5"/>
      <c r="J57" s="5"/>
    </row>
    <row r="58" spans="1:10" ht="46.8" x14ac:dyDescent="0.25">
      <c r="A58" s="4" t="s">
        <v>721</v>
      </c>
      <c r="B58" s="5" t="s">
        <v>628</v>
      </c>
      <c r="C58" s="5" t="s">
        <v>618</v>
      </c>
      <c r="D58" s="5" t="s">
        <v>615</v>
      </c>
      <c r="E58" s="6" t="s">
        <v>18</v>
      </c>
      <c r="F58" s="6"/>
      <c r="G58" s="6"/>
      <c r="H58" s="6" t="str">
        <f t="shared" si="0"/>
        <v>P</v>
      </c>
      <c r="I58" s="5"/>
      <c r="J58" s="5"/>
    </row>
    <row r="59" spans="1:10" ht="62.4" x14ac:dyDescent="0.25">
      <c r="A59" s="4" t="s">
        <v>722</v>
      </c>
      <c r="B59" s="5" t="s">
        <v>627</v>
      </c>
      <c r="C59" s="5" t="s">
        <v>616</v>
      </c>
      <c r="D59" s="5" t="s">
        <v>619</v>
      </c>
      <c r="E59" s="6" t="s">
        <v>18</v>
      </c>
      <c r="F59" s="6"/>
      <c r="G59" s="6"/>
      <c r="H59" s="6" t="str">
        <f t="shared" si="0"/>
        <v>P</v>
      </c>
      <c r="I59" s="5"/>
      <c r="J59" s="5"/>
    </row>
    <row r="60" spans="1:10" ht="46.8" x14ac:dyDescent="0.25">
      <c r="A60" s="4" t="s">
        <v>723</v>
      </c>
      <c r="B60" s="5" t="s">
        <v>630</v>
      </c>
      <c r="C60" s="5" t="s">
        <v>620</v>
      </c>
      <c r="D60" s="5" t="s">
        <v>619</v>
      </c>
      <c r="E60" s="6" t="s">
        <v>18</v>
      </c>
      <c r="F60" s="6"/>
      <c r="G60" s="6"/>
      <c r="H60" s="6" t="str">
        <f t="shared" si="0"/>
        <v>P</v>
      </c>
      <c r="I60" s="5"/>
      <c r="J60" s="5"/>
    </row>
    <row r="61" spans="1:10" ht="31.2" x14ac:dyDescent="0.25">
      <c r="A61" s="4" t="s">
        <v>724</v>
      </c>
      <c r="B61" s="5" t="s">
        <v>626</v>
      </c>
      <c r="C61" s="5" t="s">
        <v>776</v>
      </c>
      <c r="D61" s="5" t="s">
        <v>622</v>
      </c>
      <c r="E61" s="6" t="s">
        <v>18</v>
      </c>
      <c r="F61" s="6"/>
      <c r="G61" s="6"/>
      <c r="H61" s="6" t="str">
        <f t="shared" si="0"/>
        <v>P</v>
      </c>
      <c r="I61" s="5"/>
      <c r="J61" s="5"/>
    </row>
    <row r="62" spans="1:10" ht="31.2" x14ac:dyDescent="0.25">
      <c r="A62" s="4" t="s">
        <v>725</v>
      </c>
      <c r="B62" s="5" t="s">
        <v>625</v>
      </c>
      <c r="C62" s="5" t="s">
        <v>777</v>
      </c>
      <c r="D62" s="5" t="s">
        <v>624</v>
      </c>
      <c r="E62" s="6" t="s">
        <v>18</v>
      </c>
      <c r="F62" s="6"/>
      <c r="G62" s="6"/>
      <c r="H62" s="6" t="str">
        <f t="shared" si="0"/>
        <v>P</v>
      </c>
      <c r="I62" s="5"/>
      <c r="J62" s="5"/>
    </row>
    <row r="63" spans="1:10" ht="202.8" x14ac:dyDescent="0.25">
      <c r="A63" s="4" t="s">
        <v>726</v>
      </c>
      <c r="B63" s="5" t="s">
        <v>666</v>
      </c>
      <c r="C63" s="5" t="s">
        <v>580</v>
      </c>
      <c r="D63" s="5" t="s">
        <v>582</v>
      </c>
      <c r="E63" s="6" t="s">
        <v>18</v>
      </c>
      <c r="F63" s="6"/>
      <c r="G63" s="6"/>
      <c r="H63" s="6" t="str">
        <f t="shared" si="0"/>
        <v>P</v>
      </c>
      <c r="I63" s="5"/>
      <c r="J63" s="5"/>
    </row>
    <row r="64" spans="1:10" ht="78" x14ac:dyDescent="0.25">
      <c r="A64" s="4" t="s">
        <v>727</v>
      </c>
      <c r="B64" s="5" t="s">
        <v>667</v>
      </c>
      <c r="C64" s="5" t="s">
        <v>87</v>
      </c>
      <c r="D64" s="5" t="s">
        <v>88</v>
      </c>
      <c r="E64" s="6" t="s">
        <v>18</v>
      </c>
      <c r="F64" s="6"/>
      <c r="G64" s="6"/>
      <c r="H64" s="6" t="str">
        <f t="shared" si="0"/>
        <v>P</v>
      </c>
      <c r="I64" s="5"/>
      <c r="J64" s="5"/>
    </row>
    <row r="65" spans="1:10" ht="31.2" x14ac:dyDescent="0.25">
      <c r="A65" s="4" t="s">
        <v>728</v>
      </c>
      <c r="B65" s="5" t="s">
        <v>632</v>
      </c>
      <c r="C65" s="5" t="s">
        <v>41</v>
      </c>
      <c r="D65" s="5" t="s">
        <v>42</v>
      </c>
      <c r="E65" s="6" t="s">
        <v>18</v>
      </c>
      <c r="F65" s="6"/>
      <c r="G65" s="6"/>
      <c r="H65" s="6" t="str">
        <f t="shared" si="0"/>
        <v>P</v>
      </c>
      <c r="I65" s="5"/>
      <c r="J65" s="5"/>
    </row>
    <row r="66" spans="1:10" ht="31.2" x14ac:dyDescent="0.25">
      <c r="A66" s="4" t="s">
        <v>729</v>
      </c>
      <c r="B66" s="5" t="s">
        <v>633</v>
      </c>
      <c r="C66" s="5" t="s">
        <v>41</v>
      </c>
      <c r="D66" s="5" t="s">
        <v>42</v>
      </c>
      <c r="E66" s="6" t="s">
        <v>18</v>
      </c>
      <c r="F66" s="6"/>
      <c r="G66" s="6"/>
      <c r="H66" s="6" t="str">
        <f t="shared" si="0"/>
        <v>P</v>
      </c>
      <c r="I66" s="5"/>
      <c r="J66" s="5"/>
    </row>
    <row r="67" spans="1:10" ht="31.2" x14ac:dyDescent="0.25">
      <c r="A67" s="4" t="s">
        <v>730</v>
      </c>
      <c r="B67" s="5" t="s">
        <v>634</v>
      </c>
      <c r="C67" s="5" t="s">
        <v>41</v>
      </c>
      <c r="D67" s="5" t="s">
        <v>42</v>
      </c>
      <c r="E67" s="6" t="s">
        <v>18</v>
      </c>
      <c r="F67" s="6"/>
      <c r="G67" s="6"/>
      <c r="H67" s="6" t="str">
        <f t="shared" si="0"/>
        <v>P</v>
      </c>
      <c r="I67" s="5"/>
      <c r="J67" s="5"/>
    </row>
    <row r="68" spans="1:10" ht="31.2" x14ac:dyDescent="0.25">
      <c r="A68" s="4" t="s">
        <v>731</v>
      </c>
      <c r="B68" s="5" t="s">
        <v>635</v>
      </c>
      <c r="C68" s="5" t="s">
        <v>41</v>
      </c>
      <c r="D68" s="5" t="s">
        <v>42</v>
      </c>
      <c r="E68" s="6" t="s">
        <v>18</v>
      </c>
      <c r="F68" s="6"/>
      <c r="G68" s="6"/>
      <c r="H68" s="6" t="str">
        <f t="shared" si="0"/>
        <v>P</v>
      </c>
      <c r="I68" s="5"/>
      <c r="J68" s="5"/>
    </row>
    <row r="69" spans="1:10" ht="31.2" x14ac:dyDescent="0.25">
      <c r="A69" s="4" t="s">
        <v>732</v>
      </c>
      <c r="B69" s="5" t="s">
        <v>636</v>
      </c>
      <c r="C69" s="5" t="s">
        <v>41</v>
      </c>
      <c r="D69" s="5" t="s">
        <v>42</v>
      </c>
      <c r="E69" s="6" t="s">
        <v>18</v>
      </c>
      <c r="F69" s="6"/>
      <c r="G69" s="6"/>
      <c r="H69" s="6" t="str">
        <f t="shared" si="0"/>
        <v>P</v>
      </c>
      <c r="I69" s="5"/>
      <c r="J69" s="5"/>
    </row>
    <row r="70" spans="1:10" ht="31.2" x14ac:dyDescent="0.25">
      <c r="A70" s="4" t="s">
        <v>733</v>
      </c>
      <c r="B70" s="5" t="s">
        <v>637</v>
      </c>
      <c r="C70" s="5" t="s">
        <v>41</v>
      </c>
      <c r="D70" s="5" t="s">
        <v>78</v>
      </c>
      <c r="E70" s="6" t="s">
        <v>18</v>
      </c>
      <c r="F70" s="6"/>
      <c r="G70" s="6"/>
      <c r="H70" s="6" t="str">
        <f t="shared" si="0"/>
        <v>P</v>
      </c>
      <c r="I70" s="5"/>
      <c r="J70" s="5"/>
    </row>
    <row r="71" spans="1:10" ht="15.6" x14ac:dyDescent="0.25">
      <c r="A71" s="4" t="s">
        <v>734</v>
      </c>
      <c r="B71" s="5" t="s">
        <v>451</v>
      </c>
      <c r="C71" s="5" t="s">
        <v>41</v>
      </c>
      <c r="D71" s="5" t="s">
        <v>42</v>
      </c>
      <c r="E71" s="6" t="s">
        <v>18</v>
      </c>
      <c r="F71" s="6"/>
      <c r="G71" s="6"/>
      <c r="H71" s="6" t="str">
        <f t="shared" si="0"/>
        <v>P</v>
      </c>
      <c r="I71" s="5"/>
      <c r="J71" s="5"/>
    </row>
    <row r="72" spans="1:10" ht="15.6" x14ac:dyDescent="0.25">
      <c r="A72" s="4" t="s">
        <v>735</v>
      </c>
      <c r="B72" s="5" t="s">
        <v>483</v>
      </c>
      <c r="C72" s="5" t="s">
        <v>41</v>
      </c>
      <c r="D72" s="5" t="s">
        <v>42</v>
      </c>
      <c r="E72" s="6" t="s">
        <v>18</v>
      </c>
      <c r="F72" s="6"/>
      <c r="G72" s="6"/>
      <c r="H72" s="6" t="str">
        <f t="shared" si="0"/>
        <v>P</v>
      </c>
      <c r="I72" s="5"/>
      <c r="J72" s="5"/>
    </row>
    <row r="73" spans="1:10" ht="31.2" x14ac:dyDescent="0.25">
      <c r="A73" s="4" t="s">
        <v>736</v>
      </c>
      <c r="B73" s="5" t="s">
        <v>638</v>
      </c>
      <c r="C73" s="5" t="s">
        <v>639</v>
      </c>
      <c r="D73" s="5" t="s">
        <v>640</v>
      </c>
      <c r="E73" s="6" t="s">
        <v>18</v>
      </c>
      <c r="F73" s="6"/>
      <c r="G73" s="6"/>
      <c r="H73" s="6" t="str">
        <f t="shared" ref="H73:H87" si="1">IF(ISBLANK(G73),IF(ISBLANK(F73),IF(ISBLANK(E73),"",E73),F73),G73)</f>
        <v>P</v>
      </c>
      <c r="I73" s="5"/>
      <c r="J73" s="5"/>
    </row>
    <row r="74" spans="1:10" ht="31.2" x14ac:dyDescent="0.25">
      <c r="A74" s="4" t="s">
        <v>737</v>
      </c>
      <c r="B74" s="5" t="s">
        <v>641</v>
      </c>
      <c r="C74" s="5" t="s">
        <v>642</v>
      </c>
      <c r="D74" s="5" t="s">
        <v>643</v>
      </c>
      <c r="E74" s="6" t="s">
        <v>18</v>
      </c>
      <c r="F74" s="6"/>
      <c r="G74" s="6"/>
      <c r="H74" s="6" t="str">
        <f t="shared" si="1"/>
        <v>P</v>
      </c>
      <c r="I74" s="5"/>
      <c r="J74" s="5"/>
    </row>
    <row r="75" spans="1:10" ht="31.2" x14ac:dyDescent="0.25">
      <c r="A75" s="4" t="s">
        <v>738</v>
      </c>
      <c r="B75" s="5" t="s">
        <v>644</v>
      </c>
      <c r="C75" s="5" t="s">
        <v>645</v>
      </c>
      <c r="D75" s="5" t="s">
        <v>646</v>
      </c>
      <c r="E75" s="6" t="s">
        <v>18</v>
      </c>
      <c r="F75" s="6"/>
      <c r="G75" s="6"/>
      <c r="H75" s="6" t="str">
        <f t="shared" si="1"/>
        <v>P</v>
      </c>
      <c r="I75" s="5"/>
      <c r="J75" s="5"/>
    </row>
    <row r="76" spans="1:10" ht="31.2" x14ac:dyDescent="0.25">
      <c r="A76" s="4" t="s">
        <v>739</v>
      </c>
      <c r="B76" s="5" t="s">
        <v>647</v>
      </c>
      <c r="C76" s="5" t="s">
        <v>648</v>
      </c>
      <c r="D76" s="5" t="s">
        <v>649</v>
      </c>
      <c r="E76" s="6" t="s">
        <v>18</v>
      </c>
      <c r="F76" s="6"/>
      <c r="G76" s="6"/>
      <c r="H76" s="6" t="str">
        <f t="shared" si="1"/>
        <v>P</v>
      </c>
      <c r="I76" s="5"/>
      <c r="J76" s="5"/>
    </row>
    <row r="77" spans="1:10" ht="31.2" x14ac:dyDescent="0.25">
      <c r="A77" s="4" t="s">
        <v>740</v>
      </c>
      <c r="B77" s="5" t="s">
        <v>650</v>
      </c>
      <c r="C77" s="5" t="s">
        <v>651</v>
      </c>
      <c r="D77" s="5" t="s">
        <v>652</v>
      </c>
      <c r="E77" s="6" t="s">
        <v>18</v>
      </c>
      <c r="F77" s="6"/>
      <c r="G77" s="6"/>
      <c r="H77" s="6" t="str">
        <f t="shared" si="1"/>
        <v>P</v>
      </c>
      <c r="I77" s="5"/>
      <c r="J77" s="5"/>
    </row>
    <row r="78" spans="1:10" ht="31.2" x14ac:dyDescent="0.25">
      <c r="A78" s="4" t="s">
        <v>741</v>
      </c>
      <c r="B78" s="5" t="s">
        <v>653</v>
      </c>
      <c r="C78" s="5" t="s">
        <v>654</v>
      </c>
      <c r="D78" s="5" t="s">
        <v>655</v>
      </c>
      <c r="E78" s="6" t="s">
        <v>18</v>
      </c>
      <c r="F78" s="6"/>
      <c r="G78" s="6"/>
      <c r="H78" s="6" t="str">
        <f t="shared" si="1"/>
        <v>P</v>
      </c>
      <c r="I78" s="5"/>
      <c r="J78" s="5"/>
    </row>
    <row r="79" spans="1:10" ht="31.2" x14ac:dyDescent="0.25">
      <c r="A79" s="4" t="s">
        <v>742</v>
      </c>
      <c r="B79" s="5" t="s">
        <v>656</v>
      </c>
      <c r="C79" s="5" t="s">
        <v>657</v>
      </c>
      <c r="D79" s="5" t="s">
        <v>658</v>
      </c>
      <c r="E79" s="6" t="s">
        <v>18</v>
      </c>
      <c r="F79" s="6"/>
      <c r="G79" s="6"/>
      <c r="H79" s="6" t="str">
        <f t="shared" si="1"/>
        <v>P</v>
      </c>
      <c r="I79" s="5"/>
      <c r="J79" s="5"/>
    </row>
    <row r="80" spans="1:10" ht="31.2" x14ac:dyDescent="0.25">
      <c r="A80" s="4" t="s">
        <v>743</v>
      </c>
      <c r="B80" s="5" t="s">
        <v>659</v>
      </c>
      <c r="C80" s="5" t="s">
        <v>660</v>
      </c>
      <c r="D80" s="5" t="s">
        <v>661</v>
      </c>
      <c r="E80" s="6" t="s">
        <v>18</v>
      </c>
      <c r="F80" s="6"/>
      <c r="G80" s="6"/>
      <c r="H80" s="6" t="str">
        <f t="shared" si="1"/>
        <v>P</v>
      </c>
      <c r="I80" s="5"/>
      <c r="J80" s="5"/>
    </row>
    <row r="81" spans="1:10" ht="31.2" x14ac:dyDescent="0.25">
      <c r="A81" s="4" t="s">
        <v>744</v>
      </c>
      <c r="B81" s="5" t="s">
        <v>659</v>
      </c>
      <c r="C81" s="5" t="s">
        <v>660</v>
      </c>
      <c r="D81" s="5" t="s">
        <v>661</v>
      </c>
      <c r="E81" s="6" t="s">
        <v>18</v>
      </c>
      <c r="F81" s="6"/>
      <c r="G81" s="6"/>
      <c r="H81" s="6" t="str">
        <f t="shared" si="1"/>
        <v>P</v>
      </c>
      <c r="I81" s="5"/>
      <c r="J81" s="5"/>
    </row>
    <row r="82" spans="1:10" ht="62.4" x14ac:dyDescent="0.25">
      <c r="A82" s="4" t="s">
        <v>745</v>
      </c>
      <c r="B82" s="5" t="s">
        <v>668</v>
      </c>
      <c r="C82" s="5" t="s">
        <v>617</v>
      </c>
      <c r="D82" s="5" t="s">
        <v>669</v>
      </c>
      <c r="E82" s="6" t="s">
        <v>18</v>
      </c>
      <c r="F82" s="6"/>
      <c r="G82" s="6"/>
      <c r="H82" s="6" t="str">
        <f t="shared" si="1"/>
        <v>P</v>
      </c>
      <c r="I82" s="5"/>
      <c r="J82" s="5"/>
    </row>
    <row r="83" spans="1:10" ht="46.8" x14ac:dyDescent="0.25">
      <c r="A83" s="4" t="s">
        <v>746</v>
      </c>
      <c r="B83" s="5" t="s">
        <v>662</v>
      </c>
      <c r="C83" s="5" t="s">
        <v>618</v>
      </c>
      <c r="D83" s="5" t="s">
        <v>615</v>
      </c>
      <c r="E83" s="6" t="s">
        <v>18</v>
      </c>
      <c r="F83" s="6"/>
      <c r="G83" s="6"/>
      <c r="H83" s="6" t="str">
        <f t="shared" si="1"/>
        <v>P</v>
      </c>
      <c r="I83" s="5"/>
      <c r="J83" s="5"/>
    </row>
    <row r="84" spans="1:10" ht="62.4" x14ac:dyDescent="0.25">
      <c r="A84" s="4" t="s">
        <v>747</v>
      </c>
      <c r="B84" s="5" t="s">
        <v>663</v>
      </c>
      <c r="C84" s="5" t="s">
        <v>616</v>
      </c>
      <c r="D84" s="5" t="s">
        <v>619</v>
      </c>
      <c r="E84" s="6" t="s">
        <v>18</v>
      </c>
      <c r="F84" s="6"/>
      <c r="G84" s="6"/>
      <c r="H84" s="6" t="str">
        <f t="shared" si="1"/>
        <v>P</v>
      </c>
      <c r="I84" s="5"/>
      <c r="J84" s="5"/>
    </row>
    <row r="85" spans="1:10" ht="46.8" x14ac:dyDescent="0.25">
      <c r="A85" s="4" t="s">
        <v>748</v>
      </c>
      <c r="B85" s="5" t="s">
        <v>664</v>
      </c>
      <c r="C85" s="5" t="s">
        <v>620</v>
      </c>
      <c r="D85" s="5" t="s">
        <v>619</v>
      </c>
      <c r="E85" s="6" t="s">
        <v>18</v>
      </c>
      <c r="F85" s="6"/>
      <c r="G85" s="6"/>
      <c r="H85" s="6" t="str">
        <f t="shared" si="1"/>
        <v>P</v>
      </c>
      <c r="I85" s="5"/>
      <c r="J85" s="5"/>
    </row>
    <row r="86" spans="1:10" ht="31.2" x14ac:dyDescent="0.25">
      <c r="A86" s="4" t="s">
        <v>749</v>
      </c>
      <c r="B86" s="5" t="s">
        <v>665</v>
      </c>
      <c r="C86" s="5" t="s">
        <v>776</v>
      </c>
      <c r="D86" s="5" t="s">
        <v>670</v>
      </c>
      <c r="E86" s="6" t="s">
        <v>18</v>
      </c>
      <c r="F86" s="6"/>
      <c r="G86" s="6"/>
      <c r="H86" s="6" t="str">
        <f t="shared" si="1"/>
        <v>P</v>
      </c>
      <c r="I86" s="5"/>
      <c r="J86" s="5"/>
    </row>
    <row r="87" spans="1:10" ht="31.2" x14ac:dyDescent="0.25">
      <c r="A87" s="4" t="s">
        <v>750</v>
      </c>
      <c r="B87" s="5" t="s">
        <v>672</v>
      </c>
      <c r="C87" s="5" t="s">
        <v>777</v>
      </c>
      <c r="D87" s="5" t="s">
        <v>671</v>
      </c>
      <c r="E87" s="6" t="s">
        <v>18</v>
      </c>
      <c r="F87" s="6"/>
      <c r="G87" s="6"/>
      <c r="H87" s="6" t="str">
        <f t="shared" si="1"/>
        <v>P</v>
      </c>
      <c r="I87" s="5"/>
      <c r="J87" s="5"/>
    </row>
  </sheetData>
  <mergeCells count="1">
    <mergeCell ref="C1:D1"/>
  </mergeCells>
  <phoneticPr fontId="2" type="noConversion"/>
  <conditionalFormatting sqref="H11:H43 H63:H68">
    <cfRule type="expression" dxfId="29" priority="11">
      <formula>IF(H11="F",TRUE,FALSE)</formula>
    </cfRule>
    <cfRule type="expression" dxfId="28" priority="12">
      <formula>IF(H11="P",TRUE,FALSE)</formula>
    </cfRule>
  </conditionalFormatting>
  <conditionalFormatting sqref="H11:H43 H63:H68">
    <cfRule type="expression" dxfId="27" priority="10">
      <formula>IF(H11="PE",TRUE,FALSE)</formula>
    </cfRule>
  </conditionalFormatting>
  <conditionalFormatting sqref="H44:H62">
    <cfRule type="expression" dxfId="26" priority="8">
      <formula>IF(H44="F",TRUE,FALSE)</formula>
    </cfRule>
    <cfRule type="expression" dxfId="25" priority="9">
      <formula>IF(H44="P",TRUE,FALSE)</formula>
    </cfRule>
  </conditionalFormatting>
  <conditionalFormatting sqref="H44:H62">
    <cfRule type="expression" dxfId="24" priority="7">
      <formula>IF(H44="PE",TRUE,FALSE)</formula>
    </cfRule>
  </conditionalFormatting>
  <conditionalFormatting sqref="H69:H87">
    <cfRule type="expression" dxfId="23" priority="2">
      <formula>IF(H69="F",TRUE,FALSE)</formula>
    </cfRule>
    <cfRule type="expression" dxfId="22" priority="3">
      <formula>IF(H69="P",TRUE,FALSE)</formula>
    </cfRule>
  </conditionalFormatting>
  <conditionalFormatting sqref="H69:H87">
    <cfRule type="expression" dxfId="21" priority="1">
      <formula>IF(H69="PE",TRUE,FALSE)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C3C6C-A95B-47F8-91B5-84D804EA3DAB}">
  <dimension ref="A1:J55"/>
  <sheetViews>
    <sheetView topLeftCell="A46" zoomScale="85" zoomScaleNormal="85" workbookViewId="0">
      <selection activeCell="B49" sqref="B49:D49"/>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778</v>
      </c>
      <c r="E2" s="1"/>
      <c r="F2" s="1"/>
      <c r="G2" s="1"/>
      <c r="H2" s="1"/>
      <c r="I2" s="1"/>
      <c r="J2" s="1"/>
    </row>
    <row r="3" spans="1:10" ht="15.6" x14ac:dyDescent="0.3">
      <c r="A3" s="1"/>
      <c r="B3" s="1"/>
      <c r="C3" s="2" t="s">
        <v>2</v>
      </c>
      <c r="D3" s="2" t="str">
        <f>LEFT($A$11,FIND("_",$A$11)-1)</f>
        <v>KH</v>
      </c>
      <c r="E3" s="1"/>
      <c r="F3" s="1"/>
      <c r="G3" s="1"/>
      <c r="H3" s="1"/>
      <c r="I3" s="1"/>
      <c r="J3" s="1"/>
    </row>
    <row r="4" spans="1:10" ht="15.6" x14ac:dyDescent="0.3">
      <c r="A4" s="1"/>
      <c r="B4" s="1"/>
      <c r="C4" s="2" t="s">
        <v>3</v>
      </c>
      <c r="D4" s="2">
        <f>COUNTIF(H:H,"P")</f>
        <v>45</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45</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56" x14ac:dyDescent="0.25">
      <c r="A11" s="4" t="s">
        <v>779</v>
      </c>
      <c r="B11" s="5" t="s">
        <v>17</v>
      </c>
      <c r="C11" s="5" t="s">
        <v>751</v>
      </c>
      <c r="D11" s="5" t="s">
        <v>752</v>
      </c>
      <c r="E11" s="6" t="s">
        <v>18</v>
      </c>
      <c r="F11" s="6"/>
      <c r="G11" s="6"/>
      <c r="H11" s="6" t="str">
        <f t="shared" ref="H11:H39" si="0">IF(ISBLANK(G11),IF(ISBLANK(F11),IF(ISBLANK(E11),"",E11),F11),G11)</f>
        <v>P</v>
      </c>
      <c r="I11" s="5"/>
      <c r="J11" s="5"/>
    </row>
    <row r="12" spans="1:10" ht="156" x14ac:dyDescent="0.25">
      <c r="A12" s="4" t="s">
        <v>780</v>
      </c>
      <c r="B12" s="5" t="s">
        <v>24</v>
      </c>
      <c r="C12" s="5" t="s">
        <v>312</v>
      </c>
      <c r="D12" s="5" t="s">
        <v>311</v>
      </c>
      <c r="E12" s="6" t="s">
        <v>18</v>
      </c>
      <c r="F12" s="6"/>
      <c r="G12" s="6"/>
      <c r="H12" s="6" t="str">
        <f t="shared" si="0"/>
        <v>P</v>
      </c>
      <c r="I12" s="5"/>
      <c r="J12" s="5"/>
    </row>
    <row r="13" spans="1:10" ht="31.2" x14ac:dyDescent="0.25">
      <c r="A13" s="4" t="s">
        <v>781</v>
      </c>
      <c r="B13" s="5" t="s">
        <v>28</v>
      </c>
      <c r="C13" s="5" t="s">
        <v>29</v>
      </c>
      <c r="D13" s="5" t="s">
        <v>30</v>
      </c>
      <c r="E13" s="6" t="s">
        <v>18</v>
      </c>
      <c r="F13" s="6"/>
      <c r="G13" s="6"/>
      <c r="H13" s="6" t="str">
        <f t="shared" si="0"/>
        <v>P</v>
      </c>
      <c r="I13" s="5"/>
      <c r="J13" s="5"/>
    </row>
    <row r="14" spans="1:10" ht="46.8" x14ac:dyDescent="0.25">
      <c r="A14" s="4" t="s">
        <v>782</v>
      </c>
      <c r="B14" s="5" t="s">
        <v>32</v>
      </c>
      <c r="C14" s="5" t="s">
        <v>33</v>
      </c>
      <c r="D14" s="5" t="s">
        <v>34</v>
      </c>
      <c r="E14" s="6" t="s">
        <v>18</v>
      </c>
      <c r="F14" s="6"/>
      <c r="G14" s="6"/>
      <c r="H14" s="6" t="str">
        <f t="shared" si="0"/>
        <v>P</v>
      </c>
      <c r="I14" s="5"/>
      <c r="J14" s="5"/>
    </row>
    <row r="15" spans="1:10" ht="187.2" x14ac:dyDescent="0.25">
      <c r="A15" s="4" t="s">
        <v>783</v>
      </c>
      <c r="B15" s="5" t="s">
        <v>313</v>
      </c>
      <c r="C15" s="5" t="s">
        <v>178</v>
      </c>
      <c r="D15" s="5" t="s">
        <v>824</v>
      </c>
      <c r="E15" s="6" t="s">
        <v>18</v>
      </c>
      <c r="F15" s="6"/>
      <c r="G15" s="6"/>
      <c r="H15" s="6" t="str">
        <f t="shared" si="0"/>
        <v>P</v>
      </c>
      <c r="I15" s="5"/>
      <c r="J15" s="5"/>
    </row>
    <row r="16" spans="1:10" ht="78" x14ac:dyDescent="0.25">
      <c r="A16" s="4" t="s">
        <v>784</v>
      </c>
      <c r="B16" s="5" t="s">
        <v>315</v>
      </c>
      <c r="C16" s="5" t="s">
        <v>87</v>
      </c>
      <c r="D16" s="5" t="s">
        <v>88</v>
      </c>
      <c r="E16" s="6" t="s">
        <v>18</v>
      </c>
      <c r="F16" s="6"/>
      <c r="G16" s="6"/>
      <c r="H16" s="6" t="str">
        <f t="shared" si="0"/>
        <v>P</v>
      </c>
      <c r="I16" s="5"/>
      <c r="J16" s="5"/>
    </row>
    <row r="17" spans="1:10" ht="15.6" x14ac:dyDescent="0.25">
      <c r="A17" s="4" t="s">
        <v>785</v>
      </c>
      <c r="B17" s="5" t="s">
        <v>316</v>
      </c>
      <c r="C17" s="5" t="s">
        <v>41</v>
      </c>
      <c r="D17" s="5" t="s">
        <v>42</v>
      </c>
      <c r="E17" s="6" t="s">
        <v>18</v>
      </c>
      <c r="F17" s="6"/>
      <c r="G17" s="6"/>
      <c r="H17" s="6" t="str">
        <f t="shared" si="0"/>
        <v>P</v>
      </c>
      <c r="I17" s="5"/>
      <c r="J17" s="5"/>
    </row>
    <row r="18" spans="1:10" ht="31.2" x14ac:dyDescent="0.25">
      <c r="A18" s="4" t="s">
        <v>786</v>
      </c>
      <c r="B18" s="5" t="s">
        <v>825</v>
      </c>
      <c r="C18" s="5" t="s">
        <v>41</v>
      </c>
      <c r="D18" s="5" t="s">
        <v>42</v>
      </c>
      <c r="E18" s="6" t="s">
        <v>18</v>
      </c>
      <c r="F18" s="6"/>
      <c r="G18" s="6"/>
      <c r="H18" s="6" t="str">
        <f t="shared" si="0"/>
        <v>P</v>
      </c>
      <c r="I18" s="5"/>
      <c r="J18" s="5"/>
    </row>
    <row r="19" spans="1:10" ht="31.2" x14ac:dyDescent="0.25">
      <c r="A19" s="4" t="s">
        <v>787</v>
      </c>
      <c r="B19" s="5" t="s">
        <v>826</v>
      </c>
      <c r="C19" s="5" t="s">
        <v>41</v>
      </c>
      <c r="D19" s="5" t="s">
        <v>42</v>
      </c>
      <c r="E19" s="6" t="s">
        <v>18</v>
      </c>
      <c r="F19" s="6"/>
      <c r="G19" s="6"/>
      <c r="H19" s="6" t="str">
        <f t="shared" si="0"/>
        <v>P</v>
      </c>
      <c r="I19" s="5"/>
      <c r="J19" s="5"/>
    </row>
    <row r="20" spans="1:10" ht="31.2" x14ac:dyDescent="0.25">
      <c r="A20" s="4" t="s">
        <v>788</v>
      </c>
      <c r="B20" s="5" t="s">
        <v>827</v>
      </c>
      <c r="C20" s="5" t="s">
        <v>41</v>
      </c>
      <c r="D20" s="5" t="s">
        <v>42</v>
      </c>
      <c r="E20" s="6" t="s">
        <v>18</v>
      </c>
      <c r="F20" s="6"/>
      <c r="G20" s="6"/>
      <c r="H20" s="6" t="str">
        <f t="shared" si="0"/>
        <v>P</v>
      </c>
      <c r="I20" s="5"/>
      <c r="J20" s="5"/>
    </row>
    <row r="21" spans="1:10" ht="31.2" x14ac:dyDescent="0.25">
      <c r="A21" s="4" t="s">
        <v>789</v>
      </c>
      <c r="B21" s="5" t="s">
        <v>828</v>
      </c>
      <c r="C21" s="5" t="s">
        <v>41</v>
      </c>
      <c r="D21" s="5" t="s">
        <v>42</v>
      </c>
      <c r="E21" s="6" t="s">
        <v>18</v>
      </c>
      <c r="F21" s="6"/>
      <c r="G21" s="6"/>
      <c r="H21" s="6" t="str">
        <f t="shared" si="0"/>
        <v>P</v>
      </c>
      <c r="I21" s="5"/>
      <c r="J21" s="5"/>
    </row>
    <row r="22" spans="1:10" ht="15.6" x14ac:dyDescent="0.25">
      <c r="A22" s="4" t="s">
        <v>790</v>
      </c>
      <c r="B22" s="5" t="s">
        <v>322</v>
      </c>
      <c r="C22" s="5" t="s">
        <v>41</v>
      </c>
      <c r="D22" s="5" t="s">
        <v>42</v>
      </c>
      <c r="E22" s="6" t="s">
        <v>18</v>
      </c>
      <c r="F22" s="6"/>
      <c r="G22" s="6"/>
      <c r="H22" s="6" t="str">
        <f t="shared" si="0"/>
        <v>P</v>
      </c>
      <c r="I22" s="5"/>
      <c r="J22" s="5"/>
    </row>
    <row r="23" spans="1:10" ht="15.6" x14ac:dyDescent="0.25">
      <c r="A23" s="4" t="s">
        <v>791</v>
      </c>
      <c r="B23" s="5" t="s">
        <v>323</v>
      </c>
      <c r="C23" s="5" t="s">
        <v>41</v>
      </c>
      <c r="D23" s="5" t="s">
        <v>42</v>
      </c>
      <c r="E23" s="6" t="s">
        <v>18</v>
      </c>
      <c r="F23" s="6"/>
      <c r="G23" s="6"/>
      <c r="H23" s="6" t="str">
        <f t="shared" si="0"/>
        <v>P</v>
      </c>
      <c r="I23" s="5"/>
      <c r="J23" s="5"/>
    </row>
    <row r="24" spans="1:10" ht="15.6" x14ac:dyDescent="0.25">
      <c r="A24" s="4" t="s">
        <v>792</v>
      </c>
      <c r="B24" s="5" t="s">
        <v>324</v>
      </c>
      <c r="C24" s="5" t="s">
        <v>41</v>
      </c>
      <c r="D24" s="5" t="s">
        <v>42</v>
      </c>
      <c r="E24" s="6" t="s">
        <v>18</v>
      </c>
      <c r="F24" s="6"/>
      <c r="G24" s="6"/>
      <c r="H24" s="6" t="str">
        <f t="shared" si="0"/>
        <v>P</v>
      </c>
      <c r="I24" s="5"/>
      <c r="J24" s="5"/>
    </row>
    <row r="25" spans="1:10" ht="31.2" x14ac:dyDescent="0.25">
      <c r="A25" s="4" t="s">
        <v>793</v>
      </c>
      <c r="B25" s="5" t="s">
        <v>325</v>
      </c>
      <c r="C25" s="5" t="s">
        <v>339</v>
      </c>
      <c r="D25" s="5" t="s">
        <v>366</v>
      </c>
      <c r="E25" s="6" t="s">
        <v>18</v>
      </c>
      <c r="F25" s="6"/>
      <c r="G25" s="6"/>
      <c r="H25" s="6" t="str">
        <f t="shared" si="0"/>
        <v>P</v>
      </c>
      <c r="I25" s="5"/>
      <c r="J25" s="5"/>
    </row>
    <row r="26" spans="1:10" ht="31.2" x14ac:dyDescent="0.25">
      <c r="A26" s="4" t="s">
        <v>794</v>
      </c>
      <c r="B26" s="5" t="s">
        <v>326</v>
      </c>
      <c r="C26" s="5" t="s">
        <v>340</v>
      </c>
      <c r="D26" s="5" t="s">
        <v>365</v>
      </c>
      <c r="E26" s="6" t="s">
        <v>18</v>
      </c>
      <c r="F26" s="6"/>
      <c r="G26" s="6"/>
      <c r="H26" s="6" t="str">
        <f t="shared" si="0"/>
        <v>P</v>
      </c>
      <c r="I26" s="5"/>
      <c r="J26" s="5"/>
    </row>
    <row r="27" spans="1:10" ht="31.2" x14ac:dyDescent="0.25">
      <c r="A27" s="4" t="s">
        <v>795</v>
      </c>
      <c r="B27" s="5" t="s">
        <v>829</v>
      </c>
      <c r="C27" s="5" t="s">
        <v>831</v>
      </c>
      <c r="D27" s="5" t="s">
        <v>833</v>
      </c>
      <c r="E27" s="6" t="s">
        <v>18</v>
      </c>
      <c r="F27" s="6"/>
      <c r="G27" s="6"/>
      <c r="H27" s="6" t="str">
        <f t="shared" si="0"/>
        <v>P</v>
      </c>
      <c r="I27" s="5"/>
      <c r="J27" s="5"/>
    </row>
    <row r="28" spans="1:10" ht="31.2" x14ac:dyDescent="0.25">
      <c r="A28" s="4" t="s">
        <v>796</v>
      </c>
      <c r="B28" s="5" t="s">
        <v>830</v>
      </c>
      <c r="C28" s="5" t="s">
        <v>832</v>
      </c>
      <c r="D28" s="5" t="s">
        <v>834</v>
      </c>
      <c r="E28" s="6" t="s">
        <v>18</v>
      </c>
      <c r="F28" s="6"/>
      <c r="G28" s="6"/>
      <c r="H28" s="6" t="str">
        <f t="shared" si="0"/>
        <v>P</v>
      </c>
      <c r="I28" s="5"/>
      <c r="J28" s="5"/>
    </row>
    <row r="29" spans="1:10" ht="31.2" x14ac:dyDescent="0.25">
      <c r="A29" s="4" t="s">
        <v>797</v>
      </c>
      <c r="B29" s="5" t="s">
        <v>835</v>
      </c>
      <c r="C29" s="5" t="s">
        <v>836</v>
      </c>
      <c r="D29" s="5" t="s">
        <v>837</v>
      </c>
      <c r="E29" s="6" t="s">
        <v>18</v>
      </c>
      <c r="F29" s="6"/>
      <c r="G29" s="6"/>
      <c r="H29" s="6" t="str">
        <f t="shared" si="0"/>
        <v>P</v>
      </c>
      <c r="I29" s="5"/>
      <c r="J29" s="5"/>
    </row>
    <row r="30" spans="1:10" ht="31.2" x14ac:dyDescent="0.25">
      <c r="A30" s="4" t="s">
        <v>798</v>
      </c>
      <c r="B30" s="5" t="s">
        <v>840</v>
      </c>
      <c r="C30" s="5" t="s">
        <v>839</v>
      </c>
      <c r="D30" s="5" t="s">
        <v>838</v>
      </c>
      <c r="E30" s="6" t="s">
        <v>18</v>
      </c>
      <c r="F30" s="6"/>
      <c r="G30" s="6"/>
      <c r="H30" s="6" t="str">
        <f t="shared" si="0"/>
        <v>P</v>
      </c>
      <c r="I30" s="5"/>
      <c r="J30" s="5"/>
    </row>
    <row r="31" spans="1:10" ht="31.2" x14ac:dyDescent="0.25">
      <c r="A31" s="4" t="s">
        <v>799</v>
      </c>
      <c r="B31" s="5" t="s">
        <v>841</v>
      </c>
      <c r="C31" s="5" t="s">
        <v>842</v>
      </c>
      <c r="D31" s="5" t="s">
        <v>845</v>
      </c>
      <c r="E31" s="6" t="s">
        <v>18</v>
      </c>
      <c r="F31" s="6"/>
      <c r="G31" s="6"/>
      <c r="H31" s="6" t="str">
        <f t="shared" si="0"/>
        <v>P</v>
      </c>
      <c r="I31" s="5"/>
      <c r="J31" s="5"/>
    </row>
    <row r="32" spans="1:10" ht="31.2" x14ac:dyDescent="0.25">
      <c r="A32" s="4" t="s">
        <v>800</v>
      </c>
      <c r="B32" s="5" t="s">
        <v>843</v>
      </c>
      <c r="C32" s="5" t="s">
        <v>844</v>
      </c>
      <c r="D32" s="5" t="s">
        <v>846</v>
      </c>
      <c r="E32" s="6" t="s">
        <v>18</v>
      </c>
      <c r="F32" s="6"/>
      <c r="G32" s="6"/>
      <c r="H32" s="6" t="str">
        <f t="shared" si="0"/>
        <v>P</v>
      </c>
      <c r="I32" s="5"/>
      <c r="J32" s="5"/>
    </row>
    <row r="33" spans="1:10" ht="31.2" x14ac:dyDescent="0.25">
      <c r="A33" s="4" t="s">
        <v>801</v>
      </c>
      <c r="B33" s="5" t="s">
        <v>847</v>
      </c>
      <c r="C33" s="5" t="s">
        <v>849</v>
      </c>
      <c r="D33" s="5" t="s">
        <v>851</v>
      </c>
      <c r="E33" s="6" t="s">
        <v>18</v>
      </c>
      <c r="F33" s="6"/>
      <c r="G33" s="6"/>
      <c r="H33" s="6" t="str">
        <f t="shared" si="0"/>
        <v>P</v>
      </c>
      <c r="I33" s="5"/>
      <c r="J33" s="5"/>
    </row>
    <row r="34" spans="1:10" ht="31.2" x14ac:dyDescent="0.25">
      <c r="A34" s="4" t="s">
        <v>802</v>
      </c>
      <c r="B34" s="5" t="s">
        <v>848</v>
      </c>
      <c r="C34" s="5" t="s">
        <v>850</v>
      </c>
      <c r="D34" s="5" t="s">
        <v>852</v>
      </c>
      <c r="E34" s="6" t="s">
        <v>18</v>
      </c>
      <c r="F34" s="6"/>
      <c r="G34" s="6"/>
      <c r="H34" s="6" t="str">
        <f t="shared" si="0"/>
        <v>P</v>
      </c>
      <c r="I34" s="5"/>
      <c r="J34" s="5"/>
    </row>
    <row r="35" spans="1:10" ht="15.6" x14ac:dyDescent="0.25">
      <c r="A35" s="4" t="s">
        <v>803</v>
      </c>
      <c r="B35" s="5" t="s">
        <v>322</v>
      </c>
      <c r="C35" s="5" t="s">
        <v>369</v>
      </c>
      <c r="D35" s="5" t="s">
        <v>367</v>
      </c>
      <c r="E35" s="6" t="s">
        <v>18</v>
      </c>
      <c r="F35" s="6"/>
      <c r="G35" s="6"/>
      <c r="H35" s="6" t="str">
        <f t="shared" si="0"/>
        <v>P</v>
      </c>
      <c r="I35" s="5"/>
      <c r="J35" s="5"/>
    </row>
    <row r="36" spans="1:10" ht="31.2" x14ac:dyDescent="0.25">
      <c r="A36" s="4" t="s">
        <v>804</v>
      </c>
      <c r="B36" s="5" t="s">
        <v>323</v>
      </c>
      <c r="C36" s="5" t="s">
        <v>368</v>
      </c>
      <c r="D36" s="5" t="s">
        <v>371</v>
      </c>
      <c r="E36" s="6" t="s">
        <v>18</v>
      </c>
      <c r="F36" s="6"/>
      <c r="G36" s="6"/>
      <c r="H36" s="6" t="str">
        <f t="shared" si="0"/>
        <v>P</v>
      </c>
      <c r="I36" s="5"/>
      <c r="J36" s="5"/>
    </row>
    <row r="37" spans="1:10" ht="31.2" x14ac:dyDescent="0.25">
      <c r="A37" s="4" t="s">
        <v>805</v>
      </c>
      <c r="B37" s="5" t="s">
        <v>324</v>
      </c>
      <c r="C37" s="5" t="s">
        <v>370</v>
      </c>
      <c r="D37" s="5" t="s">
        <v>372</v>
      </c>
      <c r="E37" s="6" t="s">
        <v>18</v>
      </c>
      <c r="F37" s="6"/>
      <c r="G37" s="6"/>
      <c r="H37" s="6" t="str">
        <f t="shared" si="0"/>
        <v>P</v>
      </c>
      <c r="I37" s="5"/>
      <c r="J37" s="5"/>
    </row>
    <row r="38" spans="1:10" ht="156" x14ac:dyDescent="0.25">
      <c r="A38" s="4" t="s">
        <v>806</v>
      </c>
      <c r="B38" s="5" t="s">
        <v>853</v>
      </c>
      <c r="C38" s="5" t="s">
        <v>580</v>
      </c>
      <c r="D38" s="5" t="s">
        <v>854</v>
      </c>
      <c r="E38" s="6" t="s">
        <v>18</v>
      </c>
      <c r="F38" s="6"/>
      <c r="G38" s="6"/>
      <c r="H38" s="6" t="str">
        <f t="shared" si="0"/>
        <v>P</v>
      </c>
      <c r="I38" s="5"/>
      <c r="J38" s="5"/>
    </row>
    <row r="39" spans="1:10" ht="78" x14ac:dyDescent="0.25">
      <c r="A39" s="4" t="s">
        <v>807</v>
      </c>
      <c r="B39" s="5" t="s">
        <v>855</v>
      </c>
      <c r="C39" s="5" t="s">
        <v>87</v>
      </c>
      <c r="D39" s="5" t="s">
        <v>88</v>
      </c>
      <c r="E39" s="6" t="s">
        <v>18</v>
      </c>
      <c r="F39" s="6"/>
      <c r="G39" s="6"/>
      <c r="H39" s="6" t="str">
        <f t="shared" si="0"/>
        <v>P</v>
      </c>
      <c r="I39" s="5"/>
      <c r="J39" s="5"/>
    </row>
    <row r="40" spans="1:10" ht="31.2" x14ac:dyDescent="0.25">
      <c r="A40" s="4" t="s">
        <v>808</v>
      </c>
      <c r="B40" s="5" t="s">
        <v>856</v>
      </c>
      <c r="C40" s="5" t="s">
        <v>41</v>
      </c>
      <c r="D40" s="5" t="s">
        <v>42</v>
      </c>
      <c r="E40" s="6" t="s">
        <v>18</v>
      </c>
      <c r="F40" s="6"/>
      <c r="G40" s="6"/>
      <c r="H40" s="6" t="str">
        <f t="shared" ref="H40" si="1">IF(ISBLANK(G40),IF(ISBLANK(F40),IF(ISBLANK(E40),"",E40),F40),G40)</f>
        <v>P</v>
      </c>
      <c r="I40" s="5"/>
      <c r="J40" s="5"/>
    </row>
    <row r="41" spans="1:10" ht="31.2" x14ac:dyDescent="0.25">
      <c r="A41" s="4" t="s">
        <v>809</v>
      </c>
      <c r="B41" s="5" t="s">
        <v>857</v>
      </c>
      <c r="C41" s="5" t="s">
        <v>41</v>
      </c>
      <c r="D41" s="5" t="s">
        <v>42</v>
      </c>
      <c r="E41" s="6" t="s">
        <v>18</v>
      </c>
      <c r="F41" s="6"/>
      <c r="G41" s="6"/>
      <c r="H41" s="6" t="str">
        <f t="shared" ref="H41:H42" si="2">IF(ISBLANK(G41),IF(ISBLANK(F41),IF(ISBLANK(E41),"",E41),F41),G41)</f>
        <v>P</v>
      </c>
      <c r="I41" s="5"/>
      <c r="J41" s="5"/>
    </row>
    <row r="42" spans="1:10" ht="31.2" x14ac:dyDescent="0.25">
      <c r="A42" s="4" t="s">
        <v>810</v>
      </c>
      <c r="B42" s="5" t="s">
        <v>858</v>
      </c>
      <c r="C42" s="5" t="s">
        <v>41</v>
      </c>
      <c r="D42" s="5" t="s">
        <v>42</v>
      </c>
      <c r="E42" s="6" t="s">
        <v>18</v>
      </c>
      <c r="F42" s="6"/>
      <c r="G42" s="6"/>
      <c r="H42" s="6" t="str">
        <f t="shared" si="2"/>
        <v>P</v>
      </c>
      <c r="I42" s="5"/>
      <c r="J42" s="5"/>
    </row>
    <row r="43" spans="1:10" ht="31.2" x14ac:dyDescent="0.25">
      <c r="A43" s="4" t="s">
        <v>811</v>
      </c>
      <c r="B43" s="5" t="s">
        <v>859</v>
      </c>
      <c r="C43" s="5" t="s">
        <v>41</v>
      </c>
      <c r="D43" s="5" t="s">
        <v>42</v>
      </c>
      <c r="E43" s="6" t="s">
        <v>18</v>
      </c>
      <c r="F43" s="6"/>
      <c r="G43" s="6"/>
      <c r="H43" s="6" t="str">
        <f t="shared" ref="H43" si="3">IF(ISBLANK(G43),IF(ISBLANK(F43),IF(ISBLANK(E43),"",E43),F43),G43)</f>
        <v>P</v>
      </c>
      <c r="I43" s="5"/>
      <c r="J43" s="5"/>
    </row>
    <row r="44" spans="1:10" ht="78" x14ac:dyDescent="0.25">
      <c r="A44" s="4" t="s">
        <v>812</v>
      </c>
      <c r="B44" s="5" t="s">
        <v>862</v>
      </c>
      <c r="C44" s="5" t="s">
        <v>860</v>
      </c>
      <c r="D44" s="5" t="s">
        <v>861</v>
      </c>
      <c r="E44" s="6" t="s">
        <v>18</v>
      </c>
      <c r="F44" s="6"/>
      <c r="G44" s="6"/>
      <c r="H44" s="6" t="str">
        <f t="shared" ref="H44" si="4">IF(ISBLANK(G44),IF(ISBLANK(F44),IF(ISBLANK(E44),"",E44),F44),G44)</f>
        <v>P</v>
      </c>
      <c r="I44" s="5"/>
      <c r="J44" s="5"/>
    </row>
    <row r="45" spans="1:10" ht="31.2" x14ac:dyDescent="0.25">
      <c r="A45" s="4" t="s">
        <v>813</v>
      </c>
      <c r="B45" s="5" t="s">
        <v>863</v>
      </c>
      <c r="C45" s="5" t="s">
        <v>864</v>
      </c>
      <c r="D45" s="5" t="s">
        <v>861</v>
      </c>
      <c r="E45" s="6" t="s">
        <v>18</v>
      </c>
      <c r="F45" s="6"/>
      <c r="G45" s="6"/>
      <c r="H45" s="6" t="str">
        <f t="shared" ref="H45" si="5">IF(ISBLANK(G45),IF(ISBLANK(F45),IF(ISBLANK(E45),"",E45),F45),G45)</f>
        <v>P</v>
      </c>
      <c r="I45" s="5"/>
      <c r="J45" s="5"/>
    </row>
    <row r="46" spans="1:10" ht="78" x14ac:dyDescent="0.25">
      <c r="A46" s="4" t="s">
        <v>814</v>
      </c>
      <c r="B46" s="5" t="s">
        <v>865</v>
      </c>
      <c r="C46" s="5" t="s">
        <v>866</v>
      </c>
      <c r="D46" s="5" t="s">
        <v>867</v>
      </c>
      <c r="E46" s="6" t="s">
        <v>18</v>
      </c>
      <c r="F46" s="6"/>
      <c r="G46" s="6"/>
      <c r="H46" s="6" t="str">
        <f t="shared" ref="H46:H55" si="6">IF(ISBLANK(G46),IF(ISBLANK(F46),IF(ISBLANK(E46),"",E46),F46),G46)</f>
        <v>P</v>
      </c>
      <c r="I46" s="5"/>
      <c r="J46" s="5"/>
    </row>
    <row r="47" spans="1:10" ht="156" x14ac:dyDescent="0.25">
      <c r="A47" s="4" t="s">
        <v>815</v>
      </c>
      <c r="B47" s="5" t="s">
        <v>666</v>
      </c>
      <c r="C47" s="5" t="s">
        <v>580</v>
      </c>
      <c r="D47" s="5" t="s">
        <v>854</v>
      </c>
      <c r="E47" s="6" t="s">
        <v>18</v>
      </c>
      <c r="F47" s="6"/>
      <c r="G47" s="6"/>
      <c r="H47" s="6" t="str">
        <f t="shared" si="6"/>
        <v>P</v>
      </c>
      <c r="I47" s="5"/>
      <c r="J47" s="5"/>
    </row>
    <row r="48" spans="1:10" ht="78" x14ac:dyDescent="0.25">
      <c r="A48" s="4" t="s">
        <v>816</v>
      </c>
      <c r="B48" s="5" t="s">
        <v>872</v>
      </c>
      <c r="C48" s="5" t="s">
        <v>87</v>
      </c>
      <c r="D48" s="5" t="s">
        <v>88</v>
      </c>
      <c r="E48" s="6" t="s">
        <v>18</v>
      </c>
      <c r="F48" s="6"/>
      <c r="G48" s="6"/>
      <c r="H48" s="6" t="str">
        <f t="shared" si="6"/>
        <v>P</v>
      </c>
      <c r="I48" s="5"/>
      <c r="J48" s="5"/>
    </row>
    <row r="49" spans="1:10" ht="31.2" x14ac:dyDescent="0.25">
      <c r="A49" s="4" t="s">
        <v>817</v>
      </c>
      <c r="B49" s="5" t="s">
        <v>868</v>
      </c>
      <c r="C49" s="5" t="s">
        <v>41</v>
      </c>
      <c r="D49" s="5" t="s">
        <v>42</v>
      </c>
      <c r="E49" s="6" t="s">
        <v>18</v>
      </c>
      <c r="F49" s="6"/>
      <c r="G49" s="6"/>
      <c r="H49" s="6" t="str">
        <f t="shared" si="6"/>
        <v>P</v>
      </c>
      <c r="I49" s="5"/>
      <c r="J49" s="5"/>
    </row>
    <row r="50" spans="1:10" ht="31.2" x14ac:dyDescent="0.25">
      <c r="A50" s="4" t="s">
        <v>818</v>
      </c>
      <c r="B50" s="5" t="s">
        <v>869</v>
      </c>
      <c r="C50" s="5" t="s">
        <v>41</v>
      </c>
      <c r="D50" s="5" t="s">
        <v>42</v>
      </c>
      <c r="E50" s="6" t="s">
        <v>18</v>
      </c>
      <c r="F50" s="6"/>
      <c r="G50" s="6"/>
      <c r="H50" s="6" t="str">
        <f t="shared" si="6"/>
        <v>P</v>
      </c>
      <c r="I50" s="5"/>
      <c r="J50" s="5"/>
    </row>
    <row r="51" spans="1:10" ht="31.2" x14ac:dyDescent="0.25">
      <c r="A51" s="4" t="s">
        <v>819</v>
      </c>
      <c r="B51" s="5" t="s">
        <v>870</v>
      </c>
      <c r="C51" s="5" t="s">
        <v>41</v>
      </c>
      <c r="D51" s="5" t="s">
        <v>42</v>
      </c>
      <c r="E51" s="6" t="s">
        <v>18</v>
      </c>
      <c r="F51" s="6"/>
      <c r="G51" s="6"/>
      <c r="H51" s="6" t="str">
        <f t="shared" si="6"/>
        <v>P</v>
      </c>
      <c r="I51" s="5"/>
      <c r="J51" s="5"/>
    </row>
    <row r="52" spans="1:10" ht="31.2" x14ac:dyDescent="0.25">
      <c r="A52" s="4" t="s">
        <v>820</v>
      </c>
      <c r="B52" s="5" t="s">
        <v>871</v>
      </c>
      <c r="C52" s="5" t="s">
        <v>41</v>
      </c>
      <c r="D52" s="5" t="s">
        <v>42</v>
      </c>
      <c r="E52" s="6" t="s">
        <v>18</v>
      </c>
      <c r="F52" s="6"/>
      <c r="G52" s="6"/>
      <c r="H52" s="6" t="str">
        <f t="shared" si="6"/>
        <v>P</v>
      </c>
      <c r="I52" s="5"/>
      <c r="J52" s="5"/>
    </row>
    <row r="53" spans="1:10" ht="78" x14ac:dyDescent="0.25">
      <c r="A53" s="4" t="s">
        <v>821</v>
      </c>
      <c r="B53" s="5" t="s">
        <v>873</v>
      </c>
      <c r="C53" s="5" t="s">
        <v>860</v>
      </c>
      <c r="D53" s="5" t="s">
        <v>877</v>
      </c>
      <c r="E53" s="6" t="s">
        <v>18</v>
      </c>
      <c r="F53" s="6"/>
      <c r="G53" s="6"/>
      <c r="H53" s="6" t="str">
        <f t="shared" si="6"/>
        <v>P</v>
      </c>
      <c r="I53" s="5"/>
      <c r="J53" s="5"/>
    </row>
    <row r="54" spans="1:10" ht="31.2" x14ac:dyDescent="0.25">
      <c r="A54" s="4" t="s">
        <v>822</v>
      </c>
      <c r="B54" s="5" t="s">
        <v>874</v>
      </c>
      <c r="C54" s="5" t="s">
        <v>864</v>
      </c>
      <c r="D54" s="5" t="s">
        <v>877</v>
      </c>
      <c r="E54" s="6" t="s">
        <v>18</v>
      </c>
      <c r="F54" s="6"/>
      <c r="G54" s="6"/>
      <c r="H54" s="6" t="str">
        <f t="shared" si="6"/>
        <v>P</v>
      </c>
      <c r="I54" s="5"/>
      <c r="J54" s="5"/>
    </row>
    <row r="55" spans="1:10" ht="78" x14ac:dyDescent="0.25">
      <c r="A55" s="4" t="s">
        <v>823</v>
      </c>
      <c r="B55" s="5" t="s">
        <v>875</v>
      </c>
      <c r="C55" s="5" t="s">
        <v>866</v>
      </c>
      <c r="D55" s="5" t="s">
        <v>876</v>
      </c>
      <c r="E55" s="6" t="s">
        <v>18</v>
      </c>
      <c r="F55" s="6"/>
      <c r="G55" s="6"/>
      <c r="H55" s="6" t="str">
        <f t="shared" si="6"/>
        <v>P</v>
      </c>
      <c r="I55" s="5"/>
      <c r="J55" s="5"/>
    </row>
  </sheetData>
  <mergeCells count="1">
    <mergeCell ref="C1:D1"/>
  </mergeCells>
  <phoneticPr fontId="2" type="noConversion"/>
  <conditionalFormatting sqref="H11:H46">
    <cfRule type="expression" dxfId="20" priority="14">
      <formula>IF(H11="F",TRUE,FALSE)</formula>
    </cfRule>
    <cfRule type="expression" dxfId="19" priority="15">
      <formula>IF(H11="P",TRUE,FALSE)</formula>
    </cfRule>
  </conditionalFormatting>
  <conditionalFormatting sqref="H11:H46">
    <cfRule type="expression" dxfId="18" priority="13">
      <formula>IF(H11="PE",TRUE,FALSE)</formula>
    </cfRule>
  </conditionalFormatting>
  <conditionalFormatting sqref="H47:H55">
    <cfRule type="expression" dxfId="17" priority="2">
      <formula>IF(H47="F",TRUE,FALSE)</formula>
    </cfRule>
    <cfRule type="expression" dxfId="16" priority="3">
      <formula>IF(H47="P",TRUE,FALSE)</formula>
    </cfRule>
  </conditionalFormatting>
  <conditionalFormatting sqref="H47:H55">
    <cfRule type="expression" dxfId="15" priority="1">
      <formula>IF(H47="PE",TRUE,FALSE)</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C1155-75B3-4985-BAF4-1EE20C036A60}">
  <dimension ref="A1:J29"/>
  <sheetViews>
    <sheetView topLeftCell="A10" zoomScale="85" zoomScaleNormal="85" workbookViewId="0">
      <selection activeCell="A29" sqref="A29"/>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878</v>
      </c>
      <c r="E2" s="1"/>
      <c r="F2" s="1"/>
      <c r="G2" s="1"/>
      <c r="H2" s="1"/>
      <c r="I2" s="1"/>
      <c r="J2" s="1"/>
    </row>
    <row r="3" spans="1:10" ht="15.6" x14ac:dyDescent="0.3">
      <c r="A3" s="1"/>
      <c r="B3" s="1"/>
      <c r="C3" s="2" t="s">
        <v>2</v>
      </c>
      <c r="D3" s="2" t="str">
        <f>LEFT($A$11,FIND("_",$A$11)-1)</f>
        <v>TTTK</v>
      </c>
      <c r="E3" s="1"/>
      <c r="F3" s="1"/>
      <c r="G3" s="1"/>
      <c r="H3" s="1"/>
      <c r="I3" s="1"/>
      <c r="J3" s="1"/>
    </row>
    <row r="4" spans="1:10" ht="15.6" x14ac:dyDescent="0.3">
      <c r="A4" s="1"/>
      <c r="B4" s="1"/>
      <c r="C4" s="2" t="s">
        <v>3</v>
      </c>
      <c r="D4" s="2">
        <f>COUNTIF(H:H,"P")</f>
        <v>19</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19</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218.4" x14ac:dyDescent="0.25">
      <c r="A11" s="4" t="s">
        <v>879</v>
      </c>
      <c r="B11" s="5" t="s">
        <v>17</v>
      </c>
      <c r="C11" s="5" t="s">
        <v>898</v>
      </c>
      <c r="D11" s="5" t="s">
        <v>899</v>
      </c>
      <c r="E11" s="6" t="s">
        <v>18</v>
      </c>
      <c r="F11" s="6"/>
      <c r="G11" s="6"/>
      <c r="H11" s="6" t="str">
        <f t="shared" ref="H11:H14" si="0">IF(ISBLANK(G11),IF(ISBLANK(F11),IF(ISBLANK(E11),"",E11),F11),G11)</f>
        <v>P</v>
      </c>
      <c r="I11" s="5"/>
      <c r="J11" s="5"/>
    </row>
    <row r="12" spans="1:10" ht="140.4" x14ac:dyDescent="0.25">
      <c r="A12" s="4" t="s">
        <v>880</v>
      </c>
      <c r="B12" s="5" t="s">
        <v>24</v>
      </c>
      <c r="C12" s="5" t="s">
        <v>900</v>
      </c>
      <c r="D12" s="5" t="s">
        <v>901</v>
      </c>
      <c r="E12" s="6" t="s">
        <v>18</v>
      </c>
      <c r="F12" s="6"/>
      <c r="G12" s="6"/>
      <c r="H12" s="6" t="str">
        <f t="shared" si="0"/>
        <v>P</v>
      </c>
      <c r="I12" s="5"/>
      <c r="J12" s="5"/>
    </row>
    <row r="13" spans="1:10" ht="31.2" x14ac:dyDescent="0.25">
      <c r="A13" s="4" t="s">
        <v>881</v>
      </c>
      <c r="B13" s="5" t="s">
        <v>28</v>
      </c>
      <c r="C13" s="5" t="s">
        <v>29</v>
      </c>
      <c r="D13" s="5" t="s">
        <v>30</v>
      </c>
      <c r="E13" s="6" t="s">
        <v>18</v>
      </c>
      <c r="F13" s="6"/>
      <c r="G13" s="6"/>
      <c r="H13" s="6" t="str">
        <f t="shared" si="0"/>
        <v>P</v>
      </c>
      <c r="I13" s="5"/>
      <c r="J13" s="5"/>
    </row>
    <row r="14" spans="1:10" ht="46.8" x14ac:dyDescent="0.25">
      <c r="A14" s="4" t="s">
        <v>882</v>
      </c>
      <c r="B14" s="5" t="s">
        <v>32</v>
      </c>
      <c r="C14" s="5" t="s">
        <v>33</v>
      </c>
      <c r="D14" s="5" t="s">
        <v>34</v>
      </c>
      <c r="E14" s="6" t="s">
        <v>18</v>
      </c>
      <c r="F14" s="6"/>
      <c r="G14" s="6"/>
      <c r="H14" s="6" t="str">
        <f t="shared" si="0"/>
        <v>P</v>
      </c>
      <c r="I14" s="5"/>
      <c r="J14" s="5"/>
    </row>
    <row r="15" spans="1:10" ht="15.6" x14ac:dyDescent="0.25">
      <c r="A15" s="4" t="s">
        <v>883</v>
      </c>
      <c r="B15" s="5" t="s">
        <v>902</v>
      </c>
      <c r="C15" s="5" t="s">
        <v>41</v>
      </c>
      <c r="D15" s="5" t="s">
        <v>903</v>
      </c>
      <c r="E15" s="6" t="s">
        <v>18</v>
      </c>
      <c r="F15" s="6"/>
      <c r="G15" s="6"/>
      <c r="H15" s="6" t="str">
        <f t="shared" ref="H15" si="1">IF(ISBLANK(G15),IF(ISBLANK(F15),IF(ISBLANK(E15),"",E15),F15),G15)</f>
        <v>P</v>
      </c>
      <c r="I15" s="5"/>
      <c r="J15" s="5"/>
    </row>
    <row r="16" spans="1:10" ht="15.6" customHeight="1" x14ac:dyDescent="0.25">
      <c r="A16" s="4" t="s">
        <v>884</v>
      </c>
      <c r="B16" s="5" t="s">
        <v>904</v>
      </c>
      <c r="C16" s="5" t="s">
        <v>41</v>
      </c>
      <c r="D16" s="5" t="s">
        <v>42</v>
      </c>
      <c r="E16" s="6" t="s">
        <v>18</v>
      </c>
      <c r="F16" s="6"/>
      <c r="G16" s="6"/>
      <c r="H16" s="6" t="str">
        <f t="shared" ref="H16" si="2">IF(ISBLANK(G16),IF(ISBLANK(F16),IF(ISBLANK(E16),"",E16),F16),G16)</f>
        <v>P</v>
      </c>
      <c r="I16" s="5"/>
      <c r="J16" s="5"/>
    </row>
    <row r="17" spans="1:10" ht="31.2" x14ac:dyDescent="0.25">
      <c r="A17" s="4" t="s">
        <v>885</v>
      </c>
      <c r="B17" s="5" t="s">
        <v>905</v>
      </c>
      <c r="C17" s="5" t="s">
        <v>41</v>
      </c>
      <c r="D17" s="5" t="s">
        <v>42</v>
      </c>
      <c r="E17" s="6" t="s">
        <v>18</v>
      </c>
      <c r="F17" s="6"/>
      <c r="G17" s="6"/>
      <c r="H17" s="6" t="str">
        <f t="shared" ref="H17" si="3">IF(ISBLANK(G17),IF(ISBLANK(F17),IF(ISBLANK(E17),"",E17),F17),G17)</f>
        <v>P</v>
      </c>
      <c r="I17" s="5"/>
      <c r="J17" s="5"/>
    </row>
    <row r="18" spans="1:10" ht="15.6" x14ac:dyDescent="0.25">
      <c r="A18" s="4" t="s">
        <v>886</v>
      </c>
      <c r="B18" s="5" t="s">
        <v>906</v>
      </c>
      <c r="C18" s="5" t="s">
        <v>41</v>
      </c>
      <c r="D18" s="5" t="s">
        <v>42</v>
      </c>
      <c r="E18" s="6" t="s">
        <v>18</v>
      </c>
      <c r="F18" s="6"/>
      <c r="G18" s="6"/>
      <c r="H18" s="6" t="str">
        <f t="shared" ref="H18:H20" si="4">IF(ISBLANK(G18),IF(ISBLANK(F18),IF(ISBLANK(E18),"",E18),F18),G18)</f>
        <v>P</v>
      </c>
      <c r="I18" s="5"/>
      <c r="J18" s="5"/>
    </row>
    <row r="19" spans="1:10" ht="15.6" x14ac:dyDescent="0.25">
      <c r="A19" s="4" t="s">
        <v>887</v>
      </c>
      <c r="B19" s="5" t="s">
        <v>907</v>
      </c>
      <c r="C19" s="5" t="s">
        <v>41</v>
      </c>
      <c r="D19" s="5" t="s">
        <v>42</v>
      </c>
      <c r="E19" s="6" t="s">
        <v>18</v>
      </c>
      <c r="F19" s="6"/>
      <c r="G19" s="6"/>
      <c r="H19" s="6" t="str">
        <f t="shared" si="4"/>
        <v>P</v>
      </c>
      <c r="I19" s="5"/>
      <c r="J19" s="5"/>
    </row>
    <row r="20" spans="1:10" ht="31.2" x14ac:dyDescent="0.25">
      <c r="A20" s="4" t="s">
        <v>888</v>
      </c>
      <c r="B20" s="5" t="s">
        <v>908</v>
      </c>
      <c r="C20" s="5" t="s">
        <v>41</v>
      </c>
      <c r="D20" s="5" t="s">
        <v>42</v>
      </c>
      <c r="E20" s="6" t="s">
        <v>18</v>
      </c>
      <c r="F20" s="6"/>
      <c r="G20" s="6"/>
      <c r="H20" s="6" t="str">
        <f t="shared" si="4"/>
        <v>P</v>
      </c>
      <c r="I20" s="5"/>
      <c r="J20" s="5"/>
    </row>
    <row r="21" spans="1:10" ht="31.2" x14ac:dyDescent="0.25">
      <c r="A21" s="4" t="s">
        <v>889</v>
      </c>
      <c r="B21" s="5" t="s">
        <v>909</v>
      </c>
      <c r="C21" s="5" t="s">
        <v>41</v>
      </c>
      <c r="D21" s="5" t="s">
        <v>42</v>
      </c>
      <c r="E21" s="6" t="s">
        <v>18</v>
      </c>
      <c r="F21" s="6"/>
      <c r="G21" s="6"/>
      <c r="H21" s="6" t="str">
        <f t="shared" ref="H21:H22" si="5">IF(ISBLANK(G21),IF(ISBLANK(F21),IF(ISBLANK(E21),"",E21),F21),G21)</f>
        <v>P</v>
      </c>
      <c r="I21" s="5"/>
      <c r="J21" s="5"/>
    </row>
    <row r="22" spans="1:10" ht="31.2" x14ac:dyDescent="0.25">
      <c r="A22" s="4" t="s">
        <v>890</v>
      </c>
      <c r="B22" s="5" t="s">
        <v>910</v>
      </c>
      <c r="C22" s="5" t="s">
        <v>41</v>
      </c>
      <c r="D22" s="5" t="s">
        <v>42</v>
      </c>
      <c r="E22" s="6" t="s">
        <v>18</v>
      </c>
      <c r="F22" s="6"/>
      <c r="G22" s="6"/>
      <c r="H22" s="6" t="str">
        <f t="shared" si="5"/>
        <v>P</v>
      </c>
      <c r="I22" s="5"/>
      <c r="J22" s="5"/>
    </row>
    <row r="23" spans="1:10" ht="31.2" x14ac:dyDescent="0.25">
      <c r="A23" s="4" t="s">
        <v>891</v>
      </c>
      <c r="B23" s="5" t="s">
        <v>909</v>
      </c>
      <c r="C23" s="5" t="s">
        <v>911</v>
      </c>
      <c r="D23" s="5" t="s">
        <v>912</v>
      </c>
      <c r="E23" s="6" t="s">
        <v>18</v>
      </c>
      <c r="F23" s="6"/>
      <c r="G23" s="6"/>
      <c r="H23" s="6" t="str">
        <f t="shared" ref="H23" si="6">IF(ISBLANK(G23),IF(ISBLANK(F23),IF(ISBLANK(E23),"",E23),F23),G23)</f>
        <v>P</v>
      </c>
      <c r="I23" s="5"/>
      <c r="J23" s="5"/>
    </row>
    <row r="24" spans="1:10" ht="31.2" x14ac:dyDescent="0.25">
      <c r="A24" s="4" t="s">
        <v>892</v>
      </c>
      <c r="B24" s="5" t="s">
        <v>926</v>
      </c>
      <c r="C24" s="5" t="s">
        <v>913</v>
      </c>
      <c r="D24" s="5" t="s">
        <v>914</v>
      </c>
      <c r="E24" s="6" t="s">
        <v>18</v>
      </c>
      <c r="F24" s="6"/>
      <c r="G24" s="6"/>
      <c r="H24" s="6" t="str">
        <f t="shared" ref="H24" si="7">IF(ISBLANK(G24),IF(ISBLANK(F24),IF(ISBLANK(E24),"",E24),F24),G24)</f>
        <v>P</v>
      </c>
      <c r="I24" s="5"/>
      <c r="J24" s="5"/>
    </row>
    <row r="25" spans="1:10" ht="109.2" x14ac:dyDescent="0.25">
      <c r="A25" s="4" t="s">
        <v>893</v>
      </c>
      <c r="B25" s="5" t="s">
        <v>925</v>
      </c>
      <c r="C25" s="5" t="s">
        <v>915</v>
      </c>
      <c r="D25" s="5" t="s">
        <v>916</v>
      </c>
      <c r="E25" s="6" t="s">
        <v>18</v>
      </c>
      <c r="F25" s="6"/>
      <c r="G25" s="6"/>
      <c r="H25" s="6" t="str">
        <f t="shared" ref="H25" si="8">IF(ISBLANK(G25),IF(ISBLANK(F25),IF(ISBLANK(E25),"",E25),F25),G25)</f>
        <v>P</v>
      </c>
      <c r="I25" s="5"/>
      <c r="J25" s="5"/>
    </row>
    <row r="26" spans="1:10" ht="78" x14ac:dyDescent="0.25">
      <c r="A26" s="4" t="s">
        <v>894</v>
      </c>
      <c r="B26" s="5" t="s">
        <v>924</v>
      </c>
      <c r="C26" s="5" t="s">
        <v>917</v>
      </c>
      <c r="D26" s="5" t="s">
        <v>920</v>
      </c>
      <c r="E26" s="6" t="s">
        <v>18</v>
      </c>
      <c r="F26" s="6"/>
      <c r="G26" s="6"/>
      <c r="H26" s="6" t="str">
        <f t="shared" ref="H26:H27" si="9">IF(ISBLANK(G26),IF(ISBLANK(F26),IF(ISBLANK(E26),"",E26),F26),G26)</f>
        <v>P</v>
      </c>
      <c r="I26" s="5"/>
      <c r="J26" s="5"/>
    </row>
    <row r="27" spans="1:10" ht="93.6" x14ac:dyDescent="0.25">
      <c r="A27" s="4" t="s">
        <v>895</v>
      </c>
      <c r="B27" s="5" t="s">
        <v>924</v>
      </c>
      <c r="C27" s="5" t="s">
        <v>919</v>
      </c>
      <c r="D27" s="5" t="s">
        <v>921</v>
      </c>
      <c r="E27" s="6" t="s">
        <v>18</v>
      </c>
      <c r="F27" s="6"/>
      <c r="G27" s="6"/>
      <c r="H27" s="6" t="str">
        <f t="shared" si="9"/>
        <v>P</v>
      </c>
      <c r="I27" s="5"/>
      <c r="J27" s="5"/>
    </row>
    <row r="28" spans="1:10" ht="93.6" x14ac:dyDescent="0.25">
      <c r="A28" s="4" t="s">
        <v>896</v>
      </c>
      <c r="B28" s="5" t="s">
        <v>924</v>
      </c>
      <c r="C28" s="5" t="s">
        <v>918</v>
      </c>
      <c r="D28" s="5" t="s">
        <v>922</v>
      </c>
      <c r="E28" s="6" t="s">
        <v>18</v>
      </c>
      <c r="F28" s="6"/>
      <c r="G28" s="6"/>
      <c r="H28" s="6" t="str">
        <f t="shared" ref="H28" si="10">IF(ISBLANK(G28),IF(ISBLANK(F28),IF(ISBLANK(E28),"",E28),F28),G28)</f>
        <v>P</v>
      </c>
      <c r="I28" s="5"/>
      <c r="J28" s="5"/>
    </row>
    <row r="29" spans="1:10" ht="109.2" x14ac:dyDescent="0.25">
      <c r="A29" s="4" t="s">
        <v>897</v>
      </c>
      <c r="B29" s="5" t="s">
        <v>923</v>
      </c>
      <c r="C29" s="5" t="s">
        <v>927</v>
      </c>
      <c r="D29" s="5" t="s">
        <v>928</v>
      </c>
      <c r="E29" s="6" t="s">
        <v>18</v>
      </c>
      <c r="F29" s="6"/>
      <c r="G29" s="6"/>
      <c r="H29" s="6" t="str">
        <f t="shared" ref="H29" si="11">IF(ISBLANK(G29),IF(ISBLANK(F29),IF(ISBLANK(E29),"",E29),F29),G29)</f>
        <v>P</v>
      </c>
      <c r="I29" s="5"/>
      <c r="J29" s="5"/>
    </row>
  </sheetData>
  <mergeCells count="1">
    <mergeCell ref="C1:D1"/>
  </mergeCells>
  <phoneticPr fontId="2" type="noConversion"/>
  <conditionalFormatting sqref="H11:H26">
    <cfRule type="expression" dxfId="14" priority="8">
      <formula>IF(H11="F",TRUE,FALSE)</formula>
    </cfRule>
    <cfRule type="expression" dxfId="13" priority="9">
      <formula>IF(H11="P",TRUE,FALSE)</formula>
    </cfRule>
  </conditionalFormatting>
  <conditionalFormatting sqref="H11:H26">
    <cfRule type="expression" dxfId="12" priority="7">
      <formula>IF(H11="PE",TRUE,FALSE)</formula>
    </cfRule>
  </conditionalFormatting>
  <conditionalFormatting sqref="H27:H29">
    <cfRule type="expression" dxfId="11" priority="2">
      <formula>IF(H27="F",TRUE,FALSE)</formula>
    </cfRule>
    <cfRule type="expression" dxfId="10" priority="3">
      <formula>IF(H27="P",TRUE,FALSE)</formula>
    </cfRule>
  </conditionalFormatting>
  <conditionalFormatting sqref="H27:H29">
    <cfRule type="expression" dxfId="9" priority="1">
      <formula>IF(H27="PE",TRUE,FALSE)</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83370-5721-47B6-97C6-4C955504FC73}">
  <dimension ref="A1:J65"/>
  <sheetViews>
    <sheetView topLeftCell="A38" zoomScale="85" zoomScaleNormal="85" workbookViewId="0">
      <selection activeCell="L47" sqref="L47"/>
    </sheetView>
  </sheetViews>
  <sheetFormatPr defaultRowHeight="13.8" x14ac:dyDescent="0.25"/>
  <cols>
    <col min="1" max="1" width="11.59765625" customWidth="1"/>
    <col min="2" max="2" width="24" customWidth="1"/>
    <col min="3" max="3" width="35" bestFit="1" customWidth="1"/>
    <col min="4" max="4" width="35" customWidth="1"/>
  </cols>
  <sheetData>
    <row r="1" spans="1:10" ht="15.6" x14ac:dyDescent="0.3">
      <c r="A1" s="1"/>
      <c r="B1" s="1"/>
      <c r="C1" s="10" t="s">
        <v>0</v>
      </c>
      <c r="D1" s="10"/>
      <c r="E1" s="1"/>
      <c r="F1" s="1"/>
      <c r="G1" s="1"/>
      <c r="H1" s="1"/>
      <c r="I1" s="1"/>
      <c r="J1" s="1"/>
    </row>
    <row r="2" spans="1:10" ht="15.6" x14ac:dyDescent="0.3">
      <c r="A2" s="1"/>
      <c r="B2" s="1"/>
      <c r="C2" s="2" t="s">
        <v>1</v>
      </c>
      <c r="D2" s="2" t="s">
        <v>929</v>
      </c>
      <c r="E2" s="1"/>
      <c r="F2" s="1"/>
      <c r="G2" s="1"/>
      <c r="H2" s="1"/>
      <c r="I2" s="1"/>
      <c r="J2" s="1"/>
    </row>
    <row r="3" spans="1:10" ht="15.6" x14ac:dyDescent="0.3">
      <c r="A3" s="1"/>
      <c r="B3" s="1"/>
      <c r="C3" s="2" t="s">
        <v>2</v>
      </c>
      <c r="D3" s="2" t="str">
        <f>LEFT($A$11,FIND("_",$A$11)-1)</f>
        <v>QLTK</v>
      </c>
      <c r="E3" s="1"/>
      <c r="F3" s="1"/>
      <c r="G3" s="1"/>
      <c r="H3" s="1"/>
      <c r="I3" s="1"/>
      <c r="J3" s="1"/>
    </row>
    <row r="4" spans="1:10" ht="15.6" x14ac:dyDescent="0.3">
      <c r="A4" s="1"/>
      <c r="B4" s="1"/>
      <c r="C4" s="2" t="s">
        <v>3</v>
      </c>
      <c r="D4" s="2">
        <f>COUNTIF(H:H,"P")</f>
        <v>55</v>
      </c>
      <c r="E4" s="1"/>
      <c r="F4" s="1"/>
      <c r="G4" s="1"/>
      <c r="H4" s="1"/>
      <c r="I4" s="1"/>
      <c r="J4" s="1"/>
    </row>
    <row r="5" spans="1:10" ht="15.6" x14ac:dyDescent="0.3">
      <c r="A5" s="1"/>
      <c r="B5" s="1"/>
      <c r="C5" s="2" t="s">
        <v>4</v>
      </c>
      <c r="D5" s="2">
        <f>COUNTIF(H:H,"F")</f>
        <v>0</v>
      </c>
      <c r="E5" s="1"/>
      <c r="F5" s="1"/>
      <c r="G5" s="1"/>
      <c r="H5" s="1"/>
      <c r="I5" s="1"/>
      <c r="J5" s="1"/>
    </row>
    <row r="6" spans="1:10" ht="15.6" x14ac:dyDescent="0.3">
      <c r="A6" s="1"/>
      <c r="B6" s="1"/>
      <c r="C6" s="2" t="s">
        <v>5</v>
      </c>
      <c r="D6" s="2">
        <f>COUNTIF(H:H,"PE")</f>
        <v>0</v>
      </c>
      <c r="E6" s="1"/>
      <c r="F6" s="1"/>
      <c r="G6" s="1"/>
      <c r="H6" s="1"/>
      <c r="I6" s="1"/>
      <c r="J6" s="1"/>
    </row>
    <row r="7" spans="1:10" ht="15.6" x14ac:dyDescent="0.3">
      <c r="A7" s="1"/>
      <c r="B7" s="1"/>
      <c r="C7" s="2" t="s">
        <v>6</v>
      </c>
      <c r="D7" s="2">
        <f>D8-D4-D5-D6</f>
        <v>0</v>
      </c>
      <c r="E7" s="1"/>
      <c r="F7" s="1"/>
      <c r="G7" s="1"/>
      <c r="H7" s="1"/>
      <c r="I7" s="1"/>
      <c r="J7" s="1"/>
    </row>
    <row r="8" spans="1:10" ht="15.6" x14ac:dyDescent="0.3">
      <c r="A8" s="1"/>
      <c r="B8" s="1"/>
      <c r="C8" s="2" t="s">
        <v>7</v>
      </c>
      <c r="D8" s="2">
        <f>COUNTIF(A:A,_xlfn.CONCAT($D$3,"*"))</f>
        <v>55</v>
      </c>
      <c r="E8" s="1"/>
      <c r="F8" s="1"/>
      <c r="G8" s="1"/>
      <c r="H8" s="1"/>
      <c r="I8" s="1"/>
      <c r="J8" s="1"/>
    </row>
    <row r="9" spans="1:10" ht="15.6" x14ac:dyDescent="0.3">
      <c r="A9" s="1"/>
      <c r="B9" s="1"/>
      <c r="C9" s="1"/>
      <c r="D9" s="1"/>
      <c r="E9" s="1"/>
      <c r="F9" s="1"/>
      <c r="G9" s="1"/>
      <c r="H9" s="1"/>
      <c r="I9" s="1"/>
      <c r="J9" s="1"/>
    </row>
    <row r="10" spans="1:10" ht="31.2" x14ac:dyDescent="0.25">
      <c r="A10" s="3" t="s">
        <v>2</v>
      </c>
      <c r="B10" s="3" t="s">
        <v>8</v>
      </c>
      <c r="C10" s="3" t="s">
        <v>9</v>
      </c>
      <c r="D10" s="3" t="s">
        <v>10</v>
      </c>
      <c r="E10" s="3" t="s">
        <v>11</v>
      </c>
      <c r="F10" s="3" t="s">
        <v>12</v>
      </c>
      <c r="G10" s="3" t="s">
        <v>13</v>
      </c>
      <c r="H10" s="3" t="s">
        <v>14</v>
      </c>
      <c r="I10" s="3" t="s">
        <v>15</v>
      </c>
      <c r="J10" s="3" t="s">
        <v>16</v>
      </c>
    </row>
    <row r="11" spans="1:10" ht="156" x14ac:dyDescent="0.25">
      <c r="A11" s="4" t="s">
        <v>930</v>
      </c>
      <c r="B11" s="5" t="s">
        <v>17</v>
      </c>
      <c r="C11" s="5" t="s">
        <v>751</v>
      </c>
      <c r="D11" s="5" t="s">
        <v>752</v>
      </c>
      <c r="E11" s="6" t="s">
        <v>18</v>
      </c>
      <c r="F11" s="6"/>
      <c r="G11" s="6"/>
      <c r="H11" s="6" t="str">
        <f t="shared" ref="H11:H29" si="0">IF(ISBLANK(G11),IF(ISBLANK(F11),IF(ISBLANK(E11),"",E11),F11),G11)</f>
        <v>P</v>
      </c>
      <c r="I11" s="5"/>
      <c r="J11" s="5"/>
    </row>
    <row r="12" spans="1:10" ht="156" x14ac:dyDescent="0.25">
      <c r="A12" s="4" t="s">
        <v>931</v>
      </c>
      <c r="B12" s="5" t="s">
        <v>24</v>
      </c>
      <c r="C12" s="5" t="s">
        <v>312</v>
      </c>
      <c r="D12" s="5" t="s">
        <v>311</v>
      </c>
      <c r="E12" s="6" t="s">
        <v>18</v>
      </c>
      <c r="F12" s="6"/>
      <c r="G12" s="6"/>
      <c r="H12" s="6" t="str">
        <f t="shared" si="0"/>
        <v>P</v>
      </c>
      <c r="I12" s="5"/>
      <c r="J12" s="5"/>
    </row>
    <row r="13" spans="1:10" ht="31.2" x14ac:dyDescent="0.25">
      <c r="A13" s="4" t="s">
        <v>932</v>
      </c>
      <c r="B13" s="5" t="s">
        <v>28</v>
      </c>
      <c r="C13" s="5" t="s">
        <v>29</v>
      </c>
      <c r="D13" s="5" t="s">
        <v>30</v>
      </c>
      <c r="E13" s="6" t="s">
        <v>18</v>
      </c>
      <c r="F13" s="6"/>
      <c r="G13" s="6"/>
      <c r="H13" s="6" t="str">
        <f t="shared" si="0"/>
        <v>P</v>
      </c>
      <c r="I13" s="5"/>
      <c r="J13" s="5"/>
    </row>
    <row r="14" spans="1:10" ht="46.8" x14ac:dyDescent="0.25">
      <c r="A14" s="4" t="s">
        <v>933</v>
      </c>
      <c r="B14" s="5" t="s">
        <v>32</v>
      </c>
      <c r="C14" s="5" t="s">
        <v>33</v>
      </c>
      <c r="D14" s="5" t="s">
        <v>34</v>
      </c>
      <c r="E14" s="6" t="s">
        <v>18</v>
      </c>
      <c r="F14" s="6"/>
      <c r="G14" s="6"/>
      <c r="H14" s="6" t="str">
        <f t="shared" si="0"/>
        <v>P</v>
      </c>
      <c r="I14" s="5"/>
      <c r="J14" s="5"/>
    </row>
    <row r="15" spans="1:10" ht="234" x14ac:dyDescent="0.25">
      <c r="A15" s="4" t="s">
        <v>934</v>
      </c>
      <c r="B15" s="5" t="s">
        <v>313</v>
      </c>
      <c r="C15" s="5" t="s">
        <v>178</v>
      </c>
      <c r="D15" s="5" t="s">
        <v>975</v>
      </c>
      <c r="E15" s="6" t="s">
        <v>18</v>
      </c>
      <c r="F15" s="6"/>
      <c r="G15" s="6"/>
      <c r="H15" s="6" t="str">
        <f t="shared" si="0"/>
        <v>P</v>
      </c>
      <c r="I15" s="5"/>
      <c r="J15" s="5"/>
    </row>
    <row r="16" spans="1:10" ht="78" x14ac:dyDescent="0.25">
      <c r="A16" s="4" t="s">
        <v>935</v>
      </c>
      <c r="B16" s="5" t="s">
        <v>315</v>
      </c>
      <c r="C16" s="5" t="s">
        <v>87</v>
      </c>
      <c r="D16" s="5" t="s">
        <v>88</v>
      </c>
      <c r="E16" s="6" t="s">
        <v>18</v>
      </c>
      <c r="F16" s="6"/>
      <c r="G16" s="6"/>
      <c r="H16" s="6" t="str">
        <f t="shared" si="0"/>
        <v>P</v>
      </c>
      <c r="I16" s="5"/>
      <c r="J16" s="5"/>
    </row>
    <row r="17" spans="1:10" ht="15.6" x14ac:dyDescent="0.25">
      <c r="A17" s="4" t="s">
        <v>936</v>
      </c>
      <c r="B17" s="5" t="s">
        <v>316</v>
      </c>
      <c r="C17" s="5" t="s">
        <v>41</v>
      </c>
      <c r="D17" s="5" t="s">
        <v>42</v>
      </c>
      <c r="E17" s="6" t="s">
        <v>18</v>
      </c>
      <c r="F17" s="6"/>
      <c r="G17" s="6"/>
      <c r="H17" s="6" t="str">
        <f t="shared" si="0"/>
        <v>P</v>
      </c>
      <c r="I17" s="5"/>
      <c r="J17" s="5"/>
    </row>
    <row r="18" spans="1:10" ht="15.6" x14ac:dyDescent="0.25">
      <c r="A18" s="4" t="s">
        <v>937</v>
      </c>
      <c r="B18" s="5" t="s">
        <v>976</v>
      </c>
      <c r="C18" s="5" t="s">
        <v>41</v>
      </c>
      <c r="D18" s="5" t="s">
        <v>42</v>
      </c>
      <c r="E18" s="6" t="s">
        <v>18</v>
      </c>
      <c r="F18" s="6"/>
      <c r="G18" s="6"/>
      <c r="H18" s="6" t="str">
        <f t="shared" si="0"/>
        <v>P</v>
      </c>
      <c r="I18" s="5"/>
      <c r="J18" s="5"/>
    </row>
    <row r="19" spans="1:10" ht="31.2" x14ac:dyDescent="0.25">
      <c r="A19" s="4" t="s">
        <v>938</v>
      </c>
      <c r="B19" s="5" t="s">
        <v>977</v>
      </c>
      <c r="C19" s="5" t="s">
        <v>41</v>
      </c>
      <c r="D19" s="5" t="s">
        <v>42</v>
      </c>
      <c r="E19" s="6" t="s">
        <v>18</v>
      </c>
      <c r="F19" s="6"/>
      <c r="G19" s="6"/>
      <c r="H19" s="6" t="str">
        <f t="shared" si="0"/>
        <v>P</v>
      </c>
      <c r="I19" s="5"/>
      <c r="J19" s="5"/>
    </row>
    <row r="20" spans="1:10" ht="31.2" x14ac:dyDescent="0.25">
      <c r="A20" s="4" t="s">
        <v>939</v>
      </c>
      <c r="B20" s="5" t="s">
        <v>978</v>
      </c>
      <c r="C20" s="5" t="s">
        <v>41</v>
      </c>
      <c r="D20" s="5" t="s">
        <v>42</v>
      </c>
      <c r="E20" s="6" t="s">
        <v>18</v>
      </c>
      <c r="F20" s="6"/>
      <c r="G20" s="6"/>
      <c r="H20" s="6" t="str">
        <f t="shared" si="0"/>
        <v>P</v>
      </c>
      <c r="I20" s="5"/>
      <c r="J20" s="5"/>
    </row>
    <row r="21" spans="1:10" ht="31.2" x14ac:dyDescent="0.25">
      <c r="A21" s="4" t="s">
        <v>940</v>
      </c>
      <c r="B21" s="5" t="s">
        <v>979</v>
      </c>
      <c r="C21" s="5" t="s">
        <v>41</v>
      </c>
      <c r="D21" s="5" t="s">
        <v>42</v>
      </c>
      <c r="E21" s="6" t="s">
        <v>18</v>
      </c>
      <c r="F21" s="6"/>
      <c r="G21" s="6"/>
      <c r="H21" s="6" t="str">
        <f t="shared" ref="H21:H23" si="1">IF(ISBLANK(G21),IF(ISBLANK(F21),IF(ISBLANK(E21),"",E21),F21),G21)</f>
        <v>P</v>
      </c>
      <c r="I21" s="5"/>
      <c r="J21" s="5"/>
    </row>
    <row r="22" spans="1:10" ht="31.2" x14ac:dyDescent="0.25">
      <c r="A22" s="4" t="s">
        <v>941</v>
      </c>
      <c r="B22" s="5" t="s">
        <v>826</v>
      </c>
      <c r="C22" s="5" t="s">
        <v>41</v>
      </c>
      <c r="D22" s="5" t="s">
        <v>42</v>
      </c>
      <c r="E22" s="6" t="s">
        <v>18</v>
      </c>
      <c r="F22" s="6"/>
      <c r="G22" s="6"/>
      <c r="H22" s="6" t="str">
        <f t="shared" si="1"/>
        <v>P</v>
      </c>
      <c r="I22" s="5"/>
      <c r="J22" s="5"/>
    </row>
    <row r="23" spans="1:10" ht="31.2" x14ac:dyDescent="0.25">
      <c r="A23" s="4" t="s">
        <v>942</v>
      </c>
      <c r="B23" s="5" t="s">
        <v>980</v>
      </c>
      <c r="C23" s="5" t="s">
        <v>41</v>
      </c>
      <c r="D23" s="5" t="s">
        <v>42</v>
      </c>
      <c r="E23" s="6" t="s">
        <v>18</v>
      </c>
      <c r="F23" s="6"/>
      <c r="G23" s="6"/>
      <c r="H23" s="6" t="str">
        <f t="shared" si="1"/>
        <v>P</v>
      </c>
      <c r="I23" s="5"/>
      <c r="J23" s="5"/>
    </row>
    <row r="24" spans="1:10" ht="15.6" x14ac:dyDescent="0.25">
      <c r="A24" s="4" t="s">
        <v>943</v>
      </c>
      <c r="B24" s="5" t="s">
        <v>981</v>
      </c>
      <c r="C24" s="5" t="s">
        <v>41</v>
      </c>
      <c r="D24" s="5" t="s">
        <v>42</v>
      </c>
      <c r="E24" s="6" t="s">
        <v>18</v>
      </c>
      <c r="F24" s="6"/>
      <c r="G24" s="6"/>
      <c r="H24" s="6" t="str">
        <f t="shared" si="0"/>
        <v>P</v>
      </c>
      <c r="I24" s="5"/>
      <c r="J24" s="5"/>
    </row>
    <row r="25" spans="1:10" ht="15.6" x14ac:dyDescent="0.25">
      <c r="A25" s="4" t="s">
        <v>944</v>
      </c>
      <c r="B25" s="5" t="s">
        <v>322</v>
      </c>
      <c r="C25" s="5" t="s">
        <v>41</v>
      </c>
      <c r="D25" s="5" t="s">
        <v>42</v>
      </c>
      <c r="E25" s="6" t="s">
        <v>18</v>
      </c>
      <c r="F25" s="6"/>
      <c r="G25" s="6"/>
      <c r="H25" s="6" t="str">
        <f t="shared" si="0"/>
        <v>P</v>
      </c>
      <c r="I25" s="5"/>
      <c r="J25" s="5"/>
    </row>
    <row r="26" spans="1:10" ht="15.6" x14ac:dyDescent="0.25">
      <c r="A26" s="4" t="s">
        <v>945</v>
      </c>
      <c r="B26" s="5" t="s">
        <v>323</v>
      </c>
      <c r="C26" s="5" t="s">
        <v>41</v>
      </c>
      <c r="D26" s="5" t="s">
        <v>42</v>
      </c>
      <c r="E26" s="6" t="s">
        <v>18</v>
      </c>
      <c r="F26" s="6"/>
      <c r="G26" s="6"/>
      <c r="H26" s="6" t="str">
        <f t="shared" si="0"/>
        <v>P</v>
      </c>
      <c r="I26" s="5"/>
      <c r="J26" s="5"/>
    </row>
    <row r="27" spans="1:10" ht="15.6" x14ac:dyDescent="0.25">
      <c r="A27" s="4" t="s">
        <v>946</v>
      </c>
      <c r="B27" s="5" t="s">
        <v>324</v>
      </c>
      <c r="C27" s="5" t="s">
        <v>41</v>
      </c>
      <c r="D27" s="5" t="s">
        <v>42</v>
      </c>
      <c r="E27" s="6" t="s">
        <v>18</v>
      </c>
      <c r="F27" s="6"/>
      <c r="G27" s="6"/>
      <c r="H27" s="6" t="str">
        <f t="shared" si="0"/>
        <v>P</v>
      </c>
      <c r="I27" s="5"/>
      <c r="J27" s="5"/>
    </row>
    <row r="28" spans="1:10" ht="31.2" x14ac:dyDescent="0.25">
      <c r="A28" s="4" t="s">
        <v>947</v>
      </c>
      <c r="B28" s="5" t="s">
        <v>325</v>
      </c>
      <c r="C28" s="5" t="s">
        <v>339</v>
      </c>
      <c r="D28" s="5" t="s">
        <v>366</v>
      </c>
      <c r="E28" s="6" t="s">
        <v>18</v>
      </c>
      <c r="F28" s="6"/>
      <c r="G28" s="6"/>
      <c r="H28" s="6" t="str">
        <f t="shared" si="0"/>
        <v>P</v>
      </c>
      <c r="I28" s="5"/>
      <c r="J28" s="5"/>
    </row>
    <row r="29" spans="1:10" ht="31.2" x14ac:dyDescent="0.25">
      <c r="A29" s="4" t="s">
        <v>948</v>
      </c>
      <c r="B29" s="5" t="s">
        <v>326</v>
      </c>
      <c r="C29" s="5" t="s">
        <v>340</v>
      </c>
      <c r="D29" s="5" t="s">
        <v>365</v>
      </c>
      <c r="E29" s="6" t="s">
        <v>18</v>
      </c>
      <c r="F29" s="6"/>
      <c r="G29" s="6"/>
      <c r="H29" s="6" t="str">
        <f t="shared" si="0"/>
        <v>P</v>
      </c>
      <c r="I29" s="5"/>
      <c r="J29" s="5"/>
    </row>
    <row r="30" spans="1:10" ht="31.2" x14ac:dyDescent="0.25">
      <c r="A30" s="4" t="s">
        <v>949</v>
      </c>
      <c r="B30" s="5" t="s">
        <v>982</v>
      </c>
      <c r="C30" s="5" t="s">
        <v>984</v>
      </c>
      <c r="D30" s="5" t="s">
        <v>366</v>
      </c>
      <c r="E30" s="6" t="s">
        <v>18</v>
      </c>
      <c r="F30" s="6"/>
      <c r="G30" s="6"/>
      <c r="H30" s="6" t="str">
        <f t="shared" ref="H30:H31" si="2">IF(ISBLANK(G30),IF(ISBLANK(F30),IF(ISBLANK(E30),"",E30),F30),G30)</f>
        <v>P</v>
      </c>
      <c r="I30" s="5"/>
      <c r="J30" s="5"/>
    </row>
    <row r="31" spans="1:10" ht="31.2" x14ac:dyDescent="0.25">
      <c r="A31" s="4" t="s">
        <v>950</v>
      </c>
      <c r="B31" s="5" t="s">
        <v>983</v>
      </c>
      <c r="C31" s="5" t="s">
        <v>985</v>
      </c>
      <c r="D31" s="5" t="s">
        <v>365</v>
      </c>
      <c r="E31" s="6" t="s">
        <v>18</v>
      </c>
      <c r="F31" s="6"/>
      <c r="G31" s="6"/>
      <c r="H31" s="6" t="str">
        <f t="shared" si="2"/>
        <v>P</v>
      </c>
      <c r="I31" s="5"/>
      <c r="J31" s="5"/>
    </row>
    <row r="32" spans="1:10" ht="31.2" x14ac:dyDescent="0.25">
      <c r="A32" s="4" t="s">
        <v>951</v>
      </c>
      <c r="B32" s="5" t="s">
        <v>986</v>
      </c>
      <c r="C32" s="5" t="s">
        <v>987</v>
      </c>
      <c r="D32" s="5" t="s">
        <v>988</v>
      </c>
      <c r="E32" s="6" t="s">
        <v>18</v>
      </c>
      <c r="F32" s="6"/>
      <c r="G32" s="6"/>
      <c r="H32" s="6" t="str">
        <f t="shared" ref="H32:H33" si="3">IF(ISBLANK(G32),IF(ISBLANK(F32),IF(ISBLANK(E32),"",E32),F32),G32)</f>
        <v>P</v>
      </c>
      <c r="I32" s="5"/>
      <c r="J32" s="5"/>
    </row>
    <row r="33" spans="1:10" ht="31.2" x14ac:dyDescent="0.25">
      <c r="A33" s="4" t="s">
        <v>952</v>
      </c>
      <c r="B33" s="5" t="s">
        <v>989</v>
      </c>
      <c r="C33" s="5" t="s">
        <v>990</v>
      </c>
      <c r="D33" s="5" t="s">
        <v>991</v>
      </c>
      <c r="E33" s="6" t="s">
        <v>18</v>
      </c>
      <c r="F33" s="6"/>
      <c r="G33" s="6"/>
      <c r="H33" s="6" t="str">
        <f t="shared" si="3"/>
        <v>P</v>
      </c>
      <c r="I33" s="5"/>
      <c r="J33" s="5"/>
    </row>
    <row r="34" spans="1:10" ht="31.2" x14ac:dyDescent="0.25">
      <c r="A34" s="4" t="s">
        <v>953</v>
      </c>
      <c r="B34" s="5" t="s">
        <v>992</v>
      </c>
      <c r="C34" s="5" t="s">
        <v>994</v>
      </c>
      <c r="D34" s="5" t="s">
        <v>996</v>
      </c>
      <c r="E34" s="6" t="s">
        <v>18</v>
      </c>
      <c r="F34" s="6"/>
      <c r="G34" s="6"/>
      <c r="H34" s="6" t="str">
        <f t="shared" ref="H34:H37" si="4">IF(ISBLANK(G34),IF(ISBLANK(F34),IF(ISBLANK(E34),"",E34),F34),G34)</f>
        <v>P</v>
      </c>
      <c r="I34" s="5"/>
      <c r="J34" s="5"/>
    </row>
    <row r="35" spans="1:10" ht="31.2" x14ac:dyDescent="0.25">
      <c r="A35" s="4" t="s">
        <v>954</v>
      </c>
      <c r="B35" s="5" t="s">
        <v>993</v>
      </c>
      <c r="C35" s="5" t="s">
        <v>995</v>
      </c>
      <c r="D35" s="5" t="s">
        <v>997</v>
      </c>
      <c r="E35" s="6" t="s">
        <v>18</v>
      </c>
      <c r="F35" s="6"/>
      <c r="G35" s="6"/>
      <c r="H35" s="6" t="str">
        <f t="shared" si="4"/>
        <v>P</v>
      </c>
      <c r="I35" s="5"/>
      <c r="J35" s="5"/>
    </row>
    <row r="36" spans="1:10" ht="31.2" x14ac:dyDescent="0.25">
      <c r="A36" s="4" t="s">
        <v>955</v>
      </c>
      <c r="B36" s="5" t="s">
        <v>998</v>
      </c>
      <c r="C36" s="5" t="s">
        <v>999</v>
      </c>
      <c r="D36" s="5" t="s">
        <v>1000</v>
      </c>
      <c r="E36" s="6" t="s">
        <v>18</v>
      </c>
      <c r="F36" s="6"/>
      <c r="G36" s="6"/>
      <c r="H36" s="6" t="str">
        <f t="shared" si="4"/>
        <v>P</v>
      </c>
      <c r="I36" s="5"/>
      <c r="J36" s="5"/>
    </row>
    <row r="37" spans="1:10" ht="31.2" x14ac:dyDescent="0.25">
      <c r="A37" s="4" t="s">
        <v>956</v>
      </c>
      <c r="B37" s="5" t="s">
        <v>1003</v>
      </c>
      <c r="C37" s="5" t="s">
        <v>1002</v>
      </c>
      <c r="D37" s="5" t="s">
        <v>1001</v>
      </c>
      <c r="E37" s="6" t="s">
        <v>18</v>
      </c>
      <c r="F37" s="6"/>
      <c r="G37" s="6"/>
      <c r="H37" s="6" t="str">
        <f t="shared" si="4"/>
        <v>P</v>
      </c>
      <c r="I37" s="5"/>
      <c r="J37" s="5"/>
    </row>
    <row r="38" spans="1:10" ht="31.2" x14ac:dyDescent="0.25">
      <c r="A38" s="4" t="s">
        <v>957</v>
      </c>
      <c r="B38" s="5" t="s">
        <v>835</v>
      </c>
      <c r="C38" s="5" t="s">
        <v>836</v>
      </c>
      <c r="D38" s="5" t="s">
        <v>837</v>
      </c>
      <c r="E38" s="6" t="s">
        <v>18</v>
      </c>
      <c r="F38" s="6"/>
      <c r="G38" s="6"/>
      <c r="H38" s="6" t="str">
        <f t="shared" ref="H38:H39" si="5">IF(ISBLANK(G38),IF(ISBLANK(F38),IF(ISBLANK(E38),"",E38),F38),G38)</f>
        <v>P</v>
      </c>
      <c r="I38" s="5"/>
      <c r="J38" s="5"/>
    </row>
    <row r="39" spans="1:10" ht="31.2" x14ac:dyDescent="0.25">
      <c r="A39" s="4" t="s">
        <v>958</v>
      </c>
      <c r="B39" s="5" t="s">
        <v>840</v>
      </c>
      <c r="C39" s="5" t="s">
        <v>839</v>
      </c>
      <c r="D39" s="5" t="s">
        <v>838</v>
      </c>
      <c r="E39" s="6" t="s">
        <v>18</v>
      </c>
      <c r="F39" s="6"/>
      <c r="G39" s="6"/>
      <c r="H39" s="6" t="str">
        <f t="shared" si="5"/>
        <v>P</v>
      </c>
      <c r="I39" s="5"/>
      <c r="J39" s="5"/>
    </row>
    <row r="40" spans="1:10" ht="31.2" x14ac:dyDescent="0.25">
      <c r="A40" s="4" t="s">
        <v>959</v>
      </c>
      <c r="B40" s="5" t="s">
        <v>1004</v>
      </c>
      <c r="C40" s="5" t="s">
        <v>1006</v>
      </c>
      <c r="D40" s="5" t="s">
        <v>1008</v>
      </c>
      <c r="E40" s="6" t="s">
        <v>18</v>
      </c>
      <c r="F40" s="6"/>
      <c r="G40" s="6"/>
      <c r="H40" s="6" t="str">
        <f t="shared" ref="H40:H47" si="6">IF(ISBLANK(G40),IF(ISBLANK(F40),IF(ISBLANK(E40),"",E40),F40),G40)</f>
        <v>P</v>
      </c>
      <c r="I40" s="5"/>
      <c r="J40" s="5"/>
    </row>
    <row r="41" spans="1:10" ht="31.2" x14ac:dyDescent="0.25">
      <c r="A41" s="4" t="s">
        <v>960</v>
      </c>
      <c r="B41" s="5" t="s">
        <v>1005</v>
      </c>
      <c r="C41" s="5" t="s">
        <v>1007</v>
      </c>
      <c r="D41" s="5" t="s">
        <v>1009</v>
      </c>
      <c r="E41" s="6" t="s">
        <v>18</v>
      </c>
      <c r="F41" s="6"/>
      <c r="G41" s="6"/>
      <c r="H41" s="6" t="str">
        <f t="shared" si="6"/>
        <v>P</v>
      </c>
      <c r="I41" s="5"/>
      <c r="J41" s="5"/>
    </row>
    <row r="42" spans="1:10" ht="31.2" x14ac:dyDescent="0.25">
      <c r="A42" s="4" t="s">
        <v>961</v>
      </c>
      <c r="B42" s="5" t="s">
        <v>1010</v>
      </c>
      <c r="C42" s="5" t="s">
        <v>1012</v>
      </c>
      <c r="D42" s="5" t="s">
        <v>1014</v>
      </c>
      <c r="E42" s="6" t="s">
        <v>18</v>
      </c>
      <c r="F42" s="6"/>
      <c r="G42" s="6"/>
      <c r="H42" s="6" t="str">
        <f t="shared" si="6"/>
        <v>P</v>
      </c>
      <c r="I42" s="5"/>
      <c r="J42" s="5"/>
    </row>
    <row r="43" spans="1:10" ht="15.6" x14ac:dyDescent="0.25">
      <c r="A43" s="4" t="s">
        <v>962</v>
      </c>
      <c r="B43" s="5" t="s">
        <v>322</v>
      </c>
      <c r="C43" s="5" t="s">
        <v>1046</v>
      </c>
      <c r="D43" s="5" t="s">
        <v>1047</v>
      </c>
      <c r="E43" s="6" t="s">
        <v>18</v>
      </c>
      <c r="F43" s="6"/>
      <c r="G43" s="6"/>
      <c r="H43" s="6" t="str">
        <f t="shared" ref="H43:H45" si="7">IF(ISBLANK(G43),IF(ISBLANK(F43),IF(ISBLANK(E43),"",E43),F43),G43)</f>
        <v>P</v>
      </c>
      <c r="I43" s="5"/>
      <c r="J43" s="5"/>
    </row>
    <row r="44" spans="1:10" ht="15.6" x14ac:dyDescent="0.25">
      <c r="A44" s="4" t="s">
        <v>963</v>
      </c>
      <c r="B44" s="5" t="s">
        <v>323</v>
      </c>
      <c r="C44" s="5" t="s">
        <v>1048</v>
      </c>
      <c r="D44" s="5" t="s">
        <v>1049</v>
      </c>
      <c r="E44" s="6" t="s">
        <v>18</v>
      </c>
      <c r="F44" s="6"/>
      <c r="G44" s="6"/>
      <c r="H44" s="6" t="str">
        <f t="shared" si="7"/>
        <v>P</v>
      </c>
      <c r="I44" s="5"/>
      <c r="J44" s="5"/>
    </row>
    <row r="45" spans="1:10" ht="31.2" x14ac:dyDescent="0.25">
      <c r="A45" s="4" t="s">
        <v>964</v>
      </c>
      <c r="B45" s="5" t="s">
        <v>324</v>
      </c>
      <c r="C45" s="5" t="s">
        <v>1050</v>
      </c>
      <c r="D45" s="5" t="s">
        <v>1051</v>
      </c>
      <c r="E45" s="6" t="s">
        <v>18</v>
      </c>
      <c r="F45" s="6"/>
      <c r="G45" s="6"/>
      <c r="H45" s="6" t="str">
        <f t="shared" si="7"/>
        <v>P</v>
      </c>
      <c r="I45" s="5"/>
      <c r="J45" s="5"/>
    </row>
    <row r="46" spans="1:10" ht="31.2" x14ac:dyDescent="0.25">
      <c r="A46" s="4" t="s">
        <v>965</v>
      </c>
      <c r="B46" s="5" t="s">
        <v>1011</v>
      </c>
      <c r="C46" s="5" t="s">
        <v>1013</v>
      </c>
      <c r="D46" s="5" t="s">
        <v>1015</v>
      </c>
      <c r="E46" s="6" t="s">
        <v>18</v>
      </c>
      <c r="F46" s="6"/>
      <c r="G46" s="6"/>
      <c r="H46" s="6" t="str">
        <f t="shared" si="6"/>
        <v>P</v>
      </c>
      <c r="I46" s="5"/>
      <c r="J46" s="5"/>
    </row>
    <row r="47" spans="1:10" ht="156" x14ac:dyDescent="0.25">
      <c r="A47" s="4" t="s">
        <v>966</v>
      </c>
      <c r="B47" s="5" t="s">
        <v>853</v>
      </c>
      <c r="C47" s="5" t="s">
        <v>580</v>
      </c>
      <c r="D47" s="5" t="s">
        <v>1016</v>
      </c>
      <c r="E47" s="6" t="s">
        <v>18</v>
      </c>
      <c r="F47" s="6"/>
      <c r="G47" s="6"/>
      <c r="H47" s="6" t="str">
        <f t="shared" si="6"/>
        <v>P</v>
      </c>
      <c r="I47" s="5"/>
      <c r="J47" s="5"/>
    </row>
    <row r="48" spans="1:10" ht="78" x14ac:dyDescent="0.25">
      <c r="A48" s="4" t="s">
        <v>967</v>
      </c>
      <c r="B48" s="5" t="s">
        <v>855</v>
      </c>
      <c r="C48" s="5" t="s">
        <v>87</v>
      </c>
      <c r="D48" s="5" t="s">
        <v>88</v>
      </c>
      <c r="E48" s="6" t="s">
        <v>18</v>
      </c>
      <c r="F48" s="6"/>
      <c r="G48" s="6"/>
      <c r="H48" s="6" t="str">
        <f t="shared" ref="H48" si="8">IF(ISBLANK(G48),IF(ISBLANK(F48),IF(ISBLANK(E48),"",E48),F48),G48)</f>
        <v>P</v>
      </c>
      <c r="I48" s="5"/>
      <c r="J48" s="5"/>
    </row>
    <row r="49" spans="1:10" ht="31.2" x14ac:dyDescent="0.25">
      <c r="A49" s="4" t="s">
        <v>968</v>
      </c>
      <c r="B49" s="5" t="s">
        <v>1017</v>
      </c>
      <c r="C49" s="5" t="s">
        <v>41</v>
      </c>
      <c r="D49" s="5" t="s">
        <v>42</v>
      </c>
      <c r="E49" s="6" t="s">
        <v>18</v>
      </c>
      <c r="F49" s="6"/>
      <c r="G49" s="6"/>
      <c r="H49" s="6" t="str">
        <f t="shared" ref="H49" si="9">IF(ISBLANK(G49),IF(ISBLANK(F49),IF(ISBLANK(E49),"",E49),F49),G49)</f>
        <v>P</v>
      </c>
      <c r="I49" s="5"/>
      <c r="J49" s="5"/>
    </row>
    <row r="50" spans="1:10" ht="31.2" x14ac:dyDescent="0.25">
      <c r="A50" s="4" t="s">
        <v>969</v>
      </c>
      <c r="B50" s="5" t="s">
        <v>1018</v>
      </c>
      <c r="C50" s="5" t="s">
        <v>41</v>
      </c>
      <c r="D50" s="5" t="s">
        <v>42</v>
      </c>
      <c r="E50" s="6" t="s">
        <v>18</v>
      </c>
      <c r="F50" s="6"/>
      <c r="G50" s="6"/>
      <c r="H50" s="6" t="str">
        <f t="shared" ref="H50:H52" si="10">IF(ISBLANK(G50),IF(ISBLANK(F50),IF(ISBLANK(E50),"",E50),F50),G50)</f>
        <v>P</v>
      </c>
      <c r="I50" s="5"/>
      <c r="J50" s="5"/>
    </row>
    <row r="51" spans="1:10" ht="31.2" x14ac:dyDescent="0.25">
      <c r="A51" s="4" t="s">
        <v>970</v>
      </c>
      <c r="B51" s="5" t="s">
        <v>1019</v>
      </c>
      <c r="C51" s="5" t="s">
        <v>41</v>
      </c>
      <c r="D51" s="5" t="s">
        <v>42</v>
      </c>
      <c r="E51" s="6" t="s">
        <v>18</v>
      </c>
      <c r="F51" s="6"/>
      <c r="G51" s="6"/>
      <c r="H51" s="6" t="str">
        <f t="shared" si="10"/>
        <v>P</v>
      </c>
      <c r="I51" s="5"/>
      <c r="J51" s="5"/>
    </row>
    <row r="52" spans="1:10" ht="31.2" x14ac:dyDescent="0.25">
      <c r="A52" s="4" t="s">
        <v>971</v>
      </c>
      <c r="B52" s="5" t="s">
        <v>1020</v>
      </c>
      <c r="C52" s="5" t="s">
        <v>41</v>
      </c>
      <c r="D52" s="5" t="s">
        <v>42</v>
      </c>
      <c r="E52" s="6" t="s">
        <v>18</v>
      </c>
      <c r="F52" s="6"/>
      <c r="G52" s="6"/>
      <c r="H52" s="6" t="str">
        <f t="shared" si="10"/>
        <v>P</v>
      </c>
      <c r="I52" s="5"/>
      <c r="J52" s="5"/>
    </row>
    <row r="53" spans="1:10" ht="156" x14ac:dyDescent="0.25">
      <c r="A53" s="4" t="s">
        <v>972</v>
      </c>
      <c r="B53" s="5" t="s">
        <v>1021</v>
      </c>
      <c r="C53" s="5" t="s">
        <v>1024</v>
      </c>
      <c r="D53" s="5" t="s">
        <v>861</v>
      </c>
      <c r="E53" s="6" t="s">
        <v>18</v>
      </c>
      <c r="F53" s="6"/>
      <c r="G53" s="6"/>
      <c r="H53" s="6" t="str">
        <f t="shared" ref="H53" si="11">IF(ISBLANK(G53),IF(ISBLANK(F53),IF(ISBLANK(E53),"",E53),F53),G53)</f>
        <v>P</v>
      </c>
      <c r="I53" s="5"/>
      <c r="J53" s="5"/>
    </row>
    <row r="54" spans="1:10" ht="124.8" x14ac:dyDescent="0.25">
      <c r="A54" s="4" t="s">
        <v>973</v>
      </c>
      <c r="B54" s="5" t="s">
        <v>1022</v>
      </c>
      <c r="C54" s="5" t="s">
        <v>1025</v>
      </c>
      <c r="D54" s="5" t="s">
        <v>1023</v>
      </c>
      <c r="E54" s="6" t="s">
        <v>18</v>
      </c>
      <c r="F54" s="6"/>
      <c r="G54" s="6"/>
      <c r="H54" s="6" t="str">
        <f t="shared" ref="H54:H55" si="12">IF(ISBLANK(G54),IF(ISBLANK(F54),IF(ISBLANK(E54),"",E54),F54),G54)</f>
        <v>P</v>
      </c>
      <c r="I54" s="5"/>
      <c r="J54" s="5"/>
    </row>
    <row r="55" spans="1:10" ht="124.8" x14ac:dyDescent="0.25">
      <c r="A55" s="4" t="s">
        <v>974</v>
      </c>
      <c r="B55" s="5" t="s">
        <v>1022</v>
      </c>
      <c r="C55" s="5" t="s">
        <v>1026</v>
      </c>
      <c r="D55" s="5" t="s">
        <v>1027</v>
      </c>
      <c r="E55" s="6" t="s">
        <v>18</v>
      </c>
      <c r="F55" s="6"/>
      <c r="G55" s="6"/>
      <c r="H55" s="6" t="str">
        <f t="shared" si="12"/>
        <v>P</v>
      </c>
      <c r="I55" s="5"/>
      <c r="J55" s="5"/>
    </row>
    <row r="56" spans="1:10" ht="124.8" x14ac:dyDescent="0.25">
      <c r="A56" s="4" t="s">
        <v>1029</v>
      </c>
      <c r="B56" s="5" t="s">
        <v>1022</v>
      </c>
      <c r="C56" s="5" t="s">
        <v>1026</v>
      </c>
      <c r="D56" s="5" t="s">
        <v>1027</v>
      </c>
      <c r="E56" s="6" t="s">
        <v>18</v>
      </c>
      <c r="F56" s="6"/>
      <c r="G56" s="6"/>
      <c r="H56" s="6" t="str">
        <f t="shared" ref="H56" si="13">IF(ISBLANK(G56),IF(ISBLANK(F56),IF(ISBLANK(E56),"",E56),F56),G56)</f>
        <v>P</v>
      </c>
      <c r="I56" s="5"/>
      <c r="J56" s="5"/>
    </row>
    <row r="57" spans="1:10" ht="124.8" x14ac:dyDescent="0.25">
      <c r="A57" s="4" t="s">
        <v>1030</v>
      </c>
      <c r="B57" s="5" t="s">
        <v>1022</v>
      </c>
      <c r="C57" s="5" t="s">
        <v>1026</v>
      </c>
      <c r="D57" s="5" t="s">
        <v>1027</v>
      </c>
      <c r="E57" s="6" t="s">
        <v>18</v>
      </c>
      <c r="F57" s="6"/>
      <c r="G57" s="6"/>
      <c r="H57" s="6" t="str">
        <f t="shared" ref="H57" si="14">IF(ISBLANK(G57),IF(ISBLANK(F57),IF(ISBLANK(E57),"",E57),F57),G57)</f>
        <v>P</v>
      </c>
      <c r="I57" s="5"/>
      <c r="J57" s="5"/>
    </row>
    <row r="58" spans="1:10" ht="156" x14ac:dyDescent="0.25">
      <c r="A58" s="4" t="s">
        <v>1032</v>
      </c>
      <c r="B58" s="5" t="s">
        <v>1035</v>
      </c>
      <c r="C58" s="5" t="s">
        <v>1036</v>
      </c>
      <c r="D58" s="5" t="s">
        <v>1037</v>
      </c>
      <c r="E58" s="6" t="s">
        <v>18</v>
      </c>
      <c r="F58" s="6"/>
      <c r="G58" s="6"/>
      <c r="H58" s="6" t="str">
        <f t="shared" ref="H58" si="15">IF(ISBLANK(G58),IF(ISBLANK(F58),IF(ISBLANK(E58),"",E58),F58),G58)</f>
        <v>P</v>
      </c>
      <c r="I58" s="5"/>
      <c r="J58" s="5"/>
    </row>
    <row r="59" spans="1:10" ht="124.8" x14ac:dyDescent="0.25">
      <c r="A59" s="4" t="s">
        <v>1034</v>
      </c>
      <c r="B59" s="5" t="s">
        <v>666</v>
      </c>
      <c r="C59" s="5" t="s">
        <v>580</v>
      </c>
      <c r="D59" s="5" t="s">
        <v>1028</v>
      </c>
      <c r="E59" s="6" t="s">
        <v>18</v>
      </c>
      <c r="F59" s="6"/>
      <c r="G59" s="6"/>
      <c r="H59" s="6" t="str">
        <f t="shared" ref="H59" si="16">IF(ISBLANK(G59),IF(ISBLANK(F59),IF(ISBLANK(E59),"",E59),F59),G59)</f>
        <v>P</v>
      </c>
      <c r="I59" s="5"/>
      <c r="J59" s="5"/>
    </row>
    <row r="60" spans="1:10" ht="78" x14ac:dyDescent="0.25">
      <c r="A60" s="4" t="s">
        <v>1038</v>
      </c>
      <c r="B60" s="5" t="s">
        <v>872</v>
      </c>
      <c r="C60" s="5" t="s">
        <v>87</v>
      </c>
      <c r="D60" s="5" t="s">
        <v>88</v>
      </c>
      <c r="E60" s="6" t="s">
        <v>18</v>
      </c>
      <c r="F60" s="6"/>
      <c r="G60" s="6"/>
      <c r="H60" s="6" t="str">
        <f t="shared" ref="H60" si="17">IF(ISBLANK(G60),IF(ISBLANK(F60),IF(ISBLANK(E60),"",E60),F60),G60)</f>
        <v>P</v>
      </c>
      <c r="I60" s="5"/>
      <c r="J60" s="5"/>
    </row>
    <row r="61" spans="1:10" ht="31.2" x14ac:dyDescent="0.25">
      <c r="A61" s="4" t="s">
        <v>1039</v>
      </c>
      <c r="B61" s="5" t="s">
        <v>1031</v>
      </c>
      <c r="C61" s="5" t="s">
        <v>41</v>
      </c>
      <c r="D61" s="5" t="s">
        <v>42</v>
      </c>
      <c r="E61" s="6" t="s">
        <v>18</v>
      </c>
      <c r="F61" s="6"/>
      <c r="G61" s="6"/>
      <c r="H61" s="6" t="str">
        <f t="shared" ref="H61" si="18">IF(ISBLANK(G61),IF(ISBLANK(F61),IF(ISBLANK(E61),"",E61),F61),G61)</f>
        <v>P</v>
      </c>
      <c r="I61" s="5"/>
      <c r="J61" s="5"/>
    </row>
    <row r="62" spans="1:10" ht="31.2" x14ac:dyDescent="0.25">
      <c r="A62" s="4" t="s">
        <v>1042</v>
      </c>
      <c r="B62" s="5" t="s">
        <v>1033</v>
      </c>
      <c r="C62" s="5" t="s">
        <v>41</v>
      </c>
      <c r="D62" s="5" t="s">
        <v>42</v>
      </c>
      <c r="E62" s="6" t="s">
        <v>18</v>
      </c>
      <c r="F62" s="6"/>
      <c r="G62" s="6"/>
      <c r="H62" s="6" t="str">
        <f t="shared" ref="H62" si="19">IF(ISBLANK(G62),IF(ISBLANK(F62),IF(ISBLANK(E62),"",E62),F62),G62)</f>
        <v>P</v>
      </c>
      <c r="I62" s="5"/>
      <c r="J62" s="5"/>
    </row>
    <row r="63" spans="1:10" ht="31.2" x14ac:dyDescent="0.25">
      <c r="A63" s="4" t="s">
        <v>1052</v>
      </c>
      <c r="B63" s="5" t="s">
        <v>1033</v>
      </c>
      <c r="C63" s="5" t="s">
        <v>41</v>
      </c>
      <c r="D63" s="5" t="s">
        <v>42</v>
      </c>
      <c r="E63" s="6" t="s">
        <v>18</v>
      </c>
      <c r="F63" s="6"/>
      <c r="G63" s="6"/>
      <c r="H63" s="6" t="str">
        <f t="shared" ref="H63" si="20">IF(ISBLANK(G63),IF(ISBLANK(F63),IF(ISBLANK(E63),"",E63),F63),G63)</f>
        <v>P</v>
      </c>
      <c r="I63" s="5"/>
      <c r="J63" s="5"/>
    </row>
    <row r="64" spans="1:10" ht="78" x14ac:dyDescent="0.25">
      <c r="A64" s="4" t="s">
        <v>1053</v>
      </c>
      <c r="B64" s="5" t="s">
        <v>1040</v>
      </c>
      <c r="C64" s="5" t="s">
        <v>1041</v>
      </c>
      <c r="D64" s="5" t="s">
        <v>916</v>
      </c>
      <c r="E64" s="6" t="s">
        <v>18</v>
      </c>
      <c r="F64" s="6"/>
      <c r="G64" s="6"/>
      <c r="H64" s="6" t="str">
        <f t="shared" ref="H64" si="21">IF(ISBLANK(G64),IF(ISBLANK(F64),IF(ISBLANK(E64),"",E64),F64),G64)</f>
        <v>P</v>
      </c>
      <c r="I64" s="5"/>
      <c r="J64" s="5"/>
    </row>
    <row r="65" spans="1:10" ht="78" x14ac:dyDescent="0.25">
      <c r="A65" s="4" t="s">
        <v>1054</v>
      </c>
      <c r="B65" s="5" t="s">
        <v>1043</v>
      </c>
      <c r="C65" s="5" t="s">
        <v>1044</v>
      </c>
      <c r="D65" s="5" t="s">
        <v>1045</v>
      </c>
      <c r="E65" s="6" t="s">
        <v>18</v>
      </c>
      <c r="F65" s="6"/>
      <c r="G65" s="6"/>
      <c r="H65" s="6" t="str">
        <f t="shared" ref="H65" si="22">IF(ISBLANK(G65),IF(ISBLANK(F65),IF(ISBLANK(E65),"",E65),F65),G65)</f>
        <v>P</v>
      </c>
      <c r="I65" s="5"/>
      <c r="J65" s="5"/>
    </row>
  </sheetData>
  <mergeCells count="1">
    <mergeCell ref="C1:D1"/>
  </mergeCells>
  <phoneticPr fontId="2" type="noConversion"/>
  <conditionalFormatting sqref="H11:H46">
    <cfRule type="expression" dxfId="8" priority="11">
      <formula>IF(H11="F",TRUE,FALSE)</formula>
    </cfRule>
    <cfRule type="expression" dxfId="7" priority="12">
      <formula>IF(H11="P",TRUE,FALSE)</formula>
    </cfRule>
  </conditionalFormatting>
  <conditionalFormatting sqref="H11:H46">
    <cfRule type="expression" dxfId="6" priority="10">
      <formula>IF(H11="PE",TRUE,FALSE)</formula>
    </cfRule>
  </conditionalFormatting>
  <conditionalFormatting sqref="H47:H54">
    <cfRule type="expression" dxfId="5" priority="5">
      <formula>IF(H47="F",TRUE,FALSE)</formula>
    </cfRule>
    <cfRule type="expression" dxfId="4" priority="6">
      <formula>IF(H47="P",TRUE,FALSE)</formula>
    </cfRule>
  </conditionalFormatting>
  <conditionalFormatting sqref="H47:H54">
    <cfRule type="expression" dxfId="3" priority="4">
      <formula>IF(H47="PE",TRUE,FALSE)</formula>
    </cfRule>
  </conditionalFormatting>
  <conditionalFormatting sqref="H55:H65">
    <cfRule type="expression" dxfId="2" priority="2">
      <formula>IF(H55="F",TRUE,FALSE)</formula>
    </cfRule>
    <cfRule type="expression" dxfId="1" priority="3">
      <formula>IF(H55="P",TRUE,FALSE)</formula>
    </cfRule>
  </conditionalFormatting>
  <conditionalFormatting sqref="H55:H65">
    <cfRule type="expression" dxfId="0" priority="1">
      <formula>IF(H55="PE",TRUE,FALSE)</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Thống kê</vt:lpstr>
      <vt:lpstr>Đăng Nhập</vt:lpstr>
      <vt:lpstr>Màn hình chính</vt:lpstr>
      <vt:lpstr>Nhà sách</vt:lpstr>
      <vt:lpstr>Lịch sử bán</vt:lpstr>
      <vt:lpstr>Thông tin kho sách</vt:lpstr>
      <vt:lpstr>Thông tin nhập kho</vt:lpstr>
      <vt:lpstr>Thông tin xuất kho</vt:lpstr>
      <vt:lpstr>Khách hàng</vt:lpstr>
      <vt:lpstr>Thông tin tài khoản</vt:lpstr>
      <vt:lpstr>Quản lý tài khoản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Lịch Nguyễn Du</dc:creator>
  <cp:lastModifiedBy>Lịch Nguyễn Du</cp:lastModifiedBy>
  <dcterms:created xsi:type="dcterms:W3CDTF">2020-06-13T12:53:16Z</dcterms:created>
  <dcterms:modified xsi:type="dcterms:W3CDTF">2020-06-15T02:38:10Z</dcterms:modified>
</cp:coreProperties>
</file>